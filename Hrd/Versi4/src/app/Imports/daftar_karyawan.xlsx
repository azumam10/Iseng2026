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5" yWindow="-105" windowWidth="19425" windowHeight="1030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8" i="1" l="1"/>
  <c r="K131" i="1"/>
  <c r="K130" i="1"/>
  <c r="K129" i="1"/>
  <c r="E155" i="1"/>
  <c r="D155" i="1"/>
  <c r="G153" i="1"/>
  <c r="F153" i="1"/>
  <c r="E153" i="1"/>
  <c r="D153" i="1"/>
  <c r="K144" i="1"/>
  <c r="K143" i="1"/>
  <c r="K142" i="1"/>
  <c r="K141" i="1"/>
  <c r="K140" i="1"/>
  <c r="K139" i="1"/>
  <c r="K137" i="1"/>
  <c r="E137" i="1"/>
  <c r="K136" i="1"/>
  <c r="E136" i="1"/>
  <c r="K135" i="1"/>
  <c r="E135" i="1"/>
  <c r="K134" i="1"/>
  <c r="K132" i="1"/>
  <c r="R121" i="1"/>
  <c r="M121" i="1"/>
  <c r="H121" i="1"/>
  <c r="R120" i="1"/>
  <c r="M120" i="1"/>
  <c r="H120" i="1"/>
  <c r="R119" i="1"/>
  <c r="M119" i="1"/>
  <c r="H119" i="1"/>
  <c r="R118" i="1"/>
  <c r="M118" i="1"/>
  <c r="H118" i="1"/>
  <c r="R117" i="1"/>
  <c r="M117" i="1"/>
  <c r="H117" i="1"/>
  <c r="R116" i="1"/>
  <c r="M116" i="1"/>
  <c r="H116" i="1"/>
  <c r="R115" i="1"/>
  <c r="M115" i="1"/>
  <c r="H115" i="1"/>
  <c r="R114" i="1"/>
  <c r="M114" i="1"/>
  <c r="H114" i="1"/>
  <c r="R113" i="1"/>
  <c r="M113" i="1"/>
  <c r="H113" i="1"/>
  <c r="R112" i="1"/>
  <c r="M112" i="1"/>
  <c r="H112" i="1"/>
  <c r="R111" i="1"/>
  <c r="M111" i="1"/>
  <c r="H111" i="1"/>
  <c r="R110" i="1"/>
  <c r="M110" i="1"/>
  <c r="H110" i="1"/>
  <c r="R109" i="1"/>
  <c r="M109" i="1"/>
  <c r="H109" i="1"/>
  <c r="R108" i="1"/>
  <c r="M108" i="1"/>
  <c r="H108" i="1"/>
  <c r="R107" i="1"/>
  <c r="M107" i="1"/>
  <c r="H107" i="1"/>
  <c r="R106" i="1"/>
  <c r="M106" i="1"/>
  <c r="H106" i="1"/>
  <c r="R105" i="1"/>
  <c r="M105" i="1"/>
  <c r="H105" i="1"/>
  <c r="R104" i="1"/>
  <c r="M104" i="1"/>
  <c r="H104" i="1"/>
  <c r="R103" i="1"/>
  <c r="H103" i="1"/>
  <c r="R102" i="1"/>
  <c r="H102" i="1"/>
  <c r="R101" i="1"/>
  <c r="H101" i="1"/>
  <c r="R100" i="1"/>
  <c r="M100" i="1"/>
  <c r="H100" i="1"/>
  <c r="R99" i="1"/>
  <c r="M99" i="1"/>
  <c r="H99" i="1"/>
  <c r="R98" i="1"/>
  <c r="M98" i="1"/>
  <c r="H98" i="1"/>
  <c r="R97" i="1"/>
  <c r="M97" i="1"/>
  <c r="H97" i="1"/>
  <c r="R96" i="1"/>
  <c r="M96" i="1"/>
  <c r="H96" i="1"/>
  <c r="R95" i="1"/>
  <c r="M95" i="1"/>
  <c r="H95" i="1"/>
  <c r="R94" i="1"/>
  <c r="M94" i="1"/>
  <c r="H94" i="1"/>
  <c r="R93" i="1"/>
  <c r="M93" i="1"/>
  <c r="H93" i="1"/>
  <c r="R92" i="1"/>
  <c r="M92" i="1"/>
  <c r="H92" i="1"/>
  <c r="R91" i="1"/>
  <c r="M91" i="1"/>
  <c r="H91" i="1"/>
  <c r="R90" i="1"/>
  <c r="H90" i="1"/>
  <c r="R89" i="1"/>
  <c r="M89" i="1"/>
  <c r="H89" i="1"/>
  <c r="R88" i="1"/>
  <c r="M88" i="1"/>
  <c r="H88" i="1"/>
  <c r="R87" i="1"/>
  <c r="M87" i="1"/>
  <c r="H87" i="1"/>
  <c r="R86" i="1"/>
  <c r="M86" i="1"/>
  <c r="H86" i="1"/>
  <c r="R85" i="1"/>
  <c r="M85" i="1"/>
  <c r="H85" i="1"/>
  <c r="R84" i="1"/>
  <c r="M84" i="1"/>
  <c r="H84" i="1"/>
  <c r="R83" i="1"/>
  <c r="M83" i="1"/>
  <c r="H83" i="1"/>
  <c r="R82" i="1"/>
  <c r="M82" i="1"/>
  <c r="H82" i="1"/>
  <c r="R81" i="1"/>
  <c r="M81" i="1"/>
  <c r="H81" i="1"/>
  <c r="R80" i="1"/>
  <c r="N80" i="1"/>
  <c r="M80" i="1"/>
  <c r="H80" i="1"/>
  <c r="R79" i="1"/>
  <c r="N79" i="1"/>
  <c r="M79" i="1"/>
  <c r="H79" i="1"/>
  <c r="R78" i="1"/>
  <c r="N78" i="1"/>
  <c r="M78" i="1"/>
  <c r="H78" i="1"/>
  <c r="R77" i="1"/>
  <c r="N77" i="1"/>
  <c r="M77" i="1"/>
  <c r="H77" i="1"/>
  <c r="R76" i="1"/>
  <c r="N76" i="1"/>
  <c r="M76" i="1"/>
  <c r="H76" i="1"/>
  <c r="R75" i="1"/>
  <c r="N75" i="1"/>
  <c r="M75" i="1"/>
  <c r="H75" i="1"/>
  <c r="R74" i="1"/>
  <c r="N74" i="1"/>
  <c r="M74" i="1"/>
  <c r="H74" i="1"/>
  <c r="R73" i="1"/>
  <c r="N73" i="1"/>
  <c r="M73" i="1"/>
  <c r="H73" i="1"/>
  <c r="R72" i="1"/>
  <c r="M72" i="1"/>
  <c r="H72" i="1"/>
  <c r="R71" i="1"/>
  <c r="N71" i="1"/>
  <c r="M71" i="1"/>
  <c r="H71" i="1"/>
  <c r="R70" i="1"/>
  <c r="N70" i="1"/>
  <c r="M70" i="1"/>
  <c r="H70" i="1"/>
  <c r="R69" i="1"/>
  <c r="N69" i="1"/>
  <c r="M69" i="1"/>
  <c r="H69" i="1"/>
  <c r="R68" i="1"/>
  <c r="N68" i="1"/>
  <c r="M68" i="1"/>
  <c r="H68" i="1"/>
  <c r="R67" i="1"/>
  <c r="N67" i="1"/>
  <c r="M67" i="1"/>
  <c r="H67" i="1"/>
  <c r="R66" i="1"/>
  <c r="N66" i="1"/>
  <c r="M66" i="1"/>
  <c r="H66" i="1"/>
  <c r="R65" i="1"/>
  <c r="M65" i="1"/>
  <c r="H65" i="1"/>
  <c r="R64" i="1"/>
  <c r="M64" i="1"/>
  <c r="H64" i="1"/>
  <c r="R63" i="1"/>
  <c r="N63" i="1"/>
  <c r="M63" i="1"/>
  <c r="H63" i="1"/>
  <c r="R62" i="1"/>
  <c r="M62" i="1"/>
  <c r="H62" i="1"/>
  <c r="R61" i="1"/>
  <c r="M61" i="1"/>
  <c r="H61" i="1"/>
  <c r="R60" i="1"/>
  <c r="N60" i="1"/>
  <c r="M60" i="1"/>
  <c r="H60" i="1"/>
  <c r="R59" i="1"/>
  <c r="N59" i="1"/>
  <c r="M59" i="1"/>
  <c r="H59" i="1"/>
  <c r="R58" i="1"/>
  <c r="M58" i="1"/>
  <c r="H58" i="1"/>
  <c r="R57" i="1"/>
  <c r="M57" i="1"/>
  <c r="H57" i="1"/>
  <c r="R56" i="1"/>
  <c r="N56" i="1"/>
  <c r="M56" i="1"/>
  <c r="H56" i="1"/>
  <c r="R55" i="1"/>
  <c r="H55" i="1"/>
  <c r="R54" i="1"/>
  <c r="H54" i="1"/>
  <c r="R53" i="1"/>
  <c r="H53" i="1"/>
  <c r="R52" i="1"/>
  <c r="H52" i="1"/>
  <c r="R51" i="1"/>
  <c r="H51" i="1"/>
  <c r="R50" i="1"/>
  <c r="H50" i="1"/>
  <c r="R49" i="1"/>
  <c r="H49" i="1"/>
  <c r="R48" i="1"/>
  <c r="H48" i="1"/>
  <c r="R47" i="1"/>
  <c r="M47" i="1"/>
  <c r="H47" i="1"/>
  <c r="R46" i="1"/>
  <c r="M46" i="1"/>
  <c r="H46" i="1"/>
  <c r="R45" i="1"/>
  <c r="M45" i="1"/>
  <c r="H45" i="1"/>
  <c r="R44" i="1"/>
  <c r="M44" i="1"/>
  <c r="H44" i="1"/>
  <c r="R43" i="1"/>
  <c r="H43" i="1"/>
  <c r="R42" i="1"/>
  <c r="H42" i="1"/>
  <c r="R41" i="1"/>
  <c r="H41" i="1"/>
  <c r="R40" i="1"/>
  <c r="H40" i="1"/>
  <c r="R39" i="1"/>
  <c r="H39" i="1"/>
  <c r="R38" i="1"/>
  <c r="H38" i="1"/>
  <c r="R37" i="1"/>
  <c r="M37" i="1"/>
  <c r="H37" i="1"/>
  <c r="R36" i="1"/>
  <c r="M36" i="1"/>
  <c r="H36" i="1"/>
  <c r="R35" i="1"/>
  <c r="M35" i="1"/>
  <c r="H35" i="1"/>
  <c r="R34" i="1"/>
  <c r="H34" i="1"/>
  <c r="R33" i="1"/>
  <c r="H33" i="1"/>
  <c r="R32" i="1"/>
  <c r="H32" i="1"/>
  <c r="R31" i="1"/>
  <c r="H31" i="1"/>
  <c r="R30" i="1"/>
  <c r="H30" i="1"/>
  <c r="R29" i="1"/>
  <c r="H29" i="1"/>
  <c r="R28" i="1"/>
  <c r="H28" i="1"/>
  <c r="R27" i="1"/>
  <c r="H27" i="1"/>
  <c r="R26" i="1"/>
  <c r="M26" i="1"/>
  <c r="H26" i="1"/>
  <c r="R25" i="1"/>
  <c r="M25" i="1"/>
  <c r="H25" i="1"/>
  <c r="R24" i="1"/>
  <c r="M24" i="1"/>
  <c r="H24" i="1"/>
  <c r="R23" i="1"/>
  <c r="M23" i="1"/>
  <c r="H23" i="1"/>
  <c r="R22" i="1"/>
  <c r="M22" i="1"/>
  <c r="H22" i="1"/>
  <c r="R21" i="1"/>
  <c r="M21" i="1"/>
  <c r="H21" i="1"/>
  <c r="R20" i="1"/>
  <c r="M20" i="1"/>
  <c r="H20" i="1"/>
  <c r="R19" i="1"/>
  <c r="M19" i="1"/>
  <c r="H19" i="1"/>
  <c r="R18" i="1"/>
  <c r="M18" i="1"/>
  <c r="H18" i="1"/>
  <c r="R17" i="1"/>
  <c r="M17" i="1"/>
  <c r="H17" i="1"/>
  <c r="R16" i="1"/>
  <c r="H16" i="1"/>
  <c r="R15" i="1"/>
  <c r="N15" i="1"/>
  <c r="M15" i="1"/>
  <c r="H15" i="1"/>
  <c r="R14" i="1"/>
  <c r="N14" i="1"/>
  <c r="M14" i="1"/>
  <c r="H14" i="1"/>
  <c r="R13" i="1"/>
  <c r="N13" i="1"/>
  <c r="M13" i="1"/>
  <c r="H13" i="1"/>
  <c r="R12" i="1"/>
  <c r="N12" i="1"/>
  <c r="M12" i="1"/>
  <c r="H12" i="1"/>
  <c r="R11" i="1"/>
  <c r="N11" i="1"/>
  <c r="M11" i="1"/>
  <c r="H11" i="1"/>
  <c r="R10" i="1"/>
  <c r="N10" i="1"/>
  <c r="M10" i="1"/>
  <c r="H10" i="1"/>
  <c r="R9" i="1"/>
  <c r="M9" i="1"/>
  <c r="H9" i="1"/>
  <c r="R8" i="1"/>
  <c r="N8" i="1"/>
  <c r="M8" i="1"/>
  <c r="H8" i="1"/>
  <c r="R7" i="1"/>
  <c r="N7" i="1"/>
  <c r="M7" i="1"/>
  <c r="H7" i="1"/>
  <c r="R6" i="1"/>
  <c r="N6" i="1"/>
  <c r="M6" i="1"/>
  <c r="H6" i="1"/>
  <c r="R5" i="1"/>
  <c r="N5" i="1"/>
  <c r="M5" i="1"/>
  <c r="H5" i="1"/>
  <c r="R4" i="1"/>
  <c r="H4" i="1"/>
  <c r="R3" i="1"/>
  <c r="N3" i="1"/>
  <c r="M3" i="1"/>
  <c r="H3" i="1"/>
  <c r="G137" i="1" l="1"/>
  <c r="K145" i="1"/>
  <c r="E138" i="1"/>
  <c r="F156" i="1"/>
  <c r="F135" i="1"/>
  <c r="F136" i="1"/>
  <c r="F137" i="1"/>
  <c r="G135" i="1"/>
  <c r="G136" i="1"/>
  <c r="F138" i="1" l="1"/>
  <c r="G138" i="1"/>
  <c r="H138" i="1" l="1"/>
  <c r="D128" i="1"/>
  <c r="E131" i="1" s="1"/>
</calcChain>
</file>

<file path=xl/sharedStrings.xml><?xml version="1.0" encoding="utf-8"?>
<sst xmlns="http://schemas.openxmlformats.org/spreadsheetml/2006/main" count="1339" uniqueCount="472">
  <si>
    <t>NO</t>
  </si>
  <si>
    <t>NIK</t>
  </si>
  <si>
    <t>3604155207760002</t>
  </si>
  <si>
    <t>ISLAM</t>
  </si>
  <si>
    <t>PKWTT</t>
  </si>
  <si>
    <t>P</t>
  </si>
  <si>
    <t>SD</t>
  </si>
  <si>
    <t>Menikah</t>
  </si>
  <si>
    <t>KP BARENGKOK RT 005/002 SUKATANI CIKANDE</t>
  </si>
  <si>
    <t>OPR</t>
  </si>
  <si>
    <t>P1(sewing,QC sewing)</t>
  </si>
  <si>
    <t>3604156308860002</t>
  </si>
  <si>
    <t>HARIAN</t>
  </si>
  <si>
    <t>SMA</t>
  </si>
  <si>
    <t>Harian</t>
  </si>
  <si>
    <t>KP.BALUK RT/RW 00 2/001 NAMBO UDIK NAMBO UDIK CIKANDE</t>
  </si>
  <si>
    <t>3604156306720001</t>
  </si>
  <si>
    <t>SLTP</t>
  </si>
  <si>
    <t>KP.SUMUR HEJO LEBAK RT/RW.010/03 KEL.LEUWI LIMUS KEC.CIKANDE</t>
  </si>
  <si>
    <t>3604164206810006</t>
  </si>
  <si>
    <t>KP GAMBAR MASJID RT 001/006 NAMBO ILIR NAMBO ILIR KIBIN</t>
  </si>
  <si>
    <t>P2(METER,SETTING,NAIKI )</t>
  </si>
  <si>
    <t>3604154504790005</t>
  </si>
  <si>
    <t>KP.GEDONG BURUNG RT 002/002 SITU TERATE CIKANDE</t>
  </si>
  <si>
    <t>3604156807710001</t>
  </si>
  <si>
    <t>KP PABUARAN RT 1/4 CIKANDE CIKANDE</t>
  </si>
  <si>
    <t>3604155008940002</t>
  </si>
  <si>
    <t>PKWT</t>
  </si>
  <si>
    <t>D3</t>
  </si>
  <si>
    <t>KP.WADAS KUBANG RT/RW.004/001 DS.CIREUNDEU KEC.PETIR</t>
  </si>
  <si>
    <t>008085</t>
  </si>
  <si>
    <t>3604150803810001</t>
  </si>
  <si>
    <t>L</t>
  </si>
  <si>
    <t>SMK</t>
  </si>
  <si>
    <t>KP. SIDAMUKTI RT 3/1 SUKMAJAYA Kec Cikande Kab Serang</t>
  </si>
  <si>
    <t>P4(MACHINING)</t>
  </si>
  <si>
    <t>009088</t>
  </si>
  <si>
    <t>3604060312800002</t>
  </si>
  <si>
    <t>KP CIBEKA RT 3/3 WARINGINKURUNG Serang</t>
  </si>
  <si>
    <t>0104091</t>
  </si>
  <si>
    <t>3604101207780510</t>
  </si>
  <si>
    <t>TAMAN CIRUAS PERMAI BLK M.5 NO.48 RT 001/005 PAGER AGUNG WALANTAKA</t>
  </si>
  <si>
    <t>3604034808950015</t>
  </si>
  <si>
    <t>KOMP.PANJUNAN INDAH rt/rw.002/002 KASEMEN Serang</t>
  </si>
  <si>
    <t>3603011405760006</t>
  </si>
  <si>
    <t>BUKIT GADING BALARAJA BLOK H04 NO.17 CANGKUDU BALARAJA</t>
  </si>
  <si>
    <t>3604221905730001</t>
  </si>
  <si>
    <t>KP DUKUH PINANG RT 1/1 SIDAMUKTI BAROS</t>
  </si>
  <si>
    <t>RIDHO AGUSTIYANA</t>
  </si>
  <si>
    <t>3674020108050000</t>
  </si>
  <si>
    <t>Belum Menikah</t>
  </si>
  <si>
    <t>CIKANDE PERMAI K 5/21 RT 5/6 DS. CIKANDE PERMAI KEC.CIKANDE</t>
  </si>
  <si>
    <t>3604160306980003</t>
  </si>
  <si>
    <t>Kp.kalong masjid rt/rw:004/002 desa:barengkok Kab serang</t>
  </si>
  <si>
    <t>3604090907930003</t>
  </si>
  <si>
    <t>TCP BLOK J.5 NO.03 RT/RW. 002/004 DS.PELAWAD Serang</t>
  </si>
  <si>
    <t>1807241005930004</t>
  </si>
  <si>
    <t>JONGGRANG TIMUR RT/RW.09/03 DS.JONGGRANG KEC.BARAT MAGETAN JAWA TIMUR</t>
  </si>
  <si>
    <t>P5(PREPSPONGE)</t>
  </si>
  <si>
    <t>3603022708850001</t>
  </si>
  <si>
    <t>KP.JAYANTI RT/RW.003/001 DS.JAYANTI KEC.JAYANTI Kab Tangerang</t>
  </si>
  <si>
    <t>3602145205850015</t>
  </si>
  <si>
    <t>PERUM GREENVILLES BLOK B2 NO.7 RT/RW.003/001 DS.SUKAMANAH KAB LEBAK</t>
  </si>
  <si>
    <t>MAS FAIS RIZKY M</t>
  </si>
  <si>
    <t>3601170305990002</t>
  </si>
  <si>
    <t>KP.MANDALAWANGI RT/RW.003/002 DS.MANDALAWANGI</t>
  </si>
  <si>
    <t>3604150107860001</t>
  </si>
  <si>
    <t>KP.PABUARAN RT/RW.001/004 DS.CIKANDE</t>
  </si>
  <si>
    <t>3604161804940001</t>
  </si>
  <si>
    <t>KP.GAMBAR IMPRES RT/RW.003/006 DS.NAMBO ILIR KEC.KIBIN</t>
  </si>
  <si>
    <t>3604152108960003</t>
  </si>
  <si>
    <t>Perum cikande permai K9/07 RT/rw.007/006 ds.cikande permai kec.cikande</t>
  </si>
  <si>
    <t>3301141909030002</t>
  </si>
  <si>
    <t>TCP BLK J.5 NO.03 RT/RW.002/004 CITEREP PELAWAD CIRUAS</t>
  </si>
  <si>
    <t xml:space="preserve">3604155068500008 </t>
  </si>
  <si>
    <t>Kampung barengkok RT 005 RW 002 Desa Sukatani Kecamatan Cikande Kabupaten</t>
  </si>
  <si>
    <t>3604155809920001</t>
  </si>
  <si>
    <t>Kampung Pasar Lama RT 02 RW 01 Kecamatan Cikande Kecamatan Cikande Serang</t>
  </si>
  <si>
    <t>H250224</t>
  </si>
  <si>
    <t>3604096306050002</t>
  </si>
  <si>
    <t xml:space="preserve">TC Blok I 4 No 34 Rt 001/004 Pelawad Ciruas Kota Serang </t>
  </si>
  <si>
    <t>3603014508050001</t>
  </si>
  <si>
    <t>Kp cariu Rt/Rw 005/001 Ds Talagasari Kec Balaraja Kab Tangerang Banten</t>
  </si>
  <si>
    <t>180707 48010002</t>
  </si>
  <si>
    <t xml:space="preserve"> Desa Panca Sakti RT 42 RW 06 desaBraja Sakti Way Jepara Lampung Timur</t>
  </si>
  <si>
    <t>H250645</t>
  </si>
  <si>
    <t>3604346012060002</t>
  </si>
  <si>
    <t>20/12/2006</t>
  </si>
  <si>
    <t>Kp Maja Rt/Rw  006/006  Mender kec Bandung Kab serang</t>
  </si>
  <si>
    <t>3603025911040003</t>
  </si>
  <si>
    <t>19/11/2004</t>
  </si>
  <si>
    <t>Kp jayanti Rt/Rw 010/003 Desa Cikande Kec Jayanti Kab Tangerang</t>
  </si>
  <si>
    <t>H250646</t>
  </si>
  <si>
    <t>NIDA LUTHFIYATI SYARIFA</t>
  </si>
  <si>
    <t>3603274407050002</t>
  </si>
  <si>
    <t>Perum Pesona saga Blok F no 21 Rt/Rw 009/003 kec balaraja kab tangerang</t>
  </si>
  <si>
    <t>1201061008010001</t>
  </si>
  <si>
    <t>Kristen Protestan</t>
  </si>
  <si>
    <t>Kp.gambar impres, RT 003/006, Cikande, Kab.Serang,Banten, leuwilimus</t>
  </si>
  <si>
    <t>P6(DISPO CUFF.ID Band )</t>
  </si>
  <si>
    <t>3604155305990005</t>
  </si>
  <si>
    <t>Kp. Pasar Lama Rt/Rw 002/001 Des. Cikande Kec. Cikande Kab. Serang - Banten</t>
  </si>
  <si>
    <t>3603311508000004</t>
  </si>
  <si>
    <t>KATOLIK</t>
  </si>
  <si>
    <t>Taman kirana surya blok D 01/40 Desa pesanggrahan kec.Solear</t>
  </si>
  <si>
    <t>3604165911970000</t>
  </si>
  <si>
    <t>KP Gambar Rt 003 Rw 006 Kel Nambo ilir Kec Kibin Kab Serang</t>
  </si>
  <si>
    <t>3604 255805920002</t>
  </si>
  <si>
    <t>18/05/1992</t>
  </si>
  <si>
    <t>Siti Ratnasari Kampung Pesing Rt 17 RW 05 Desa carenang udik Kecamatan Kopo Kabupaten Serang Banten</t>
  </si>
  <si>
    <t>3604226609960000</t>
  </si>
  <si>
    <t>Serang 26 September 1996 SMA Kampung sadik RT 017 RW 04 desa pangaragung Kecamatan Walantaka kota Serang</t>
  </si>
  <si>
    <t>1201060406030000</t>
  </si>
  <si>
    <t>KRISTEN</t>
  </si>
  <si>
    <t>Desa sitio-tio Hilir Kecamatan pandan Kabupaten Sumatera Utara</t>
  </si>
  <si>
    <t>1671082404940000</t>
  </si>
  <si>
    <t xml:space="preserve">Jalan Swadaya murni Komplek Griya Maharani Blok D Nomor 22 kota Palembang </t>
  </si>
  <si>
    <t>360110511295002</t>
  </si>
  <si>
    <t>KP gambar RT/RW 003/006 Nambo hilir Kibin Kab serang</t>
  </si>
  <si>
    <t>H241229</t>
  </si>
  <si>
    <t>3604156610020000</t>
  </si>
  <si>
    <t>Kp Ciherang RT/RW 03/05 DESA CIKANDE  KEC.CIKANDE Kab Serang</t>
  </si>
  <si>
    <t>H241230</t>
  </si>
  <si>
    <t>3603182202880000</t>
  </si>
  <si>
    <t>Kp Pabuaran Rt/RW 008/003 Desa Dukuh Kec Cikupa Kab Tangerang</t>
  </si>
  <si>
    <t>H250207</t>
  </si>
  <si>
    <t>3604101204871140</t>
  </si>
  <si>
    <t>Graha walantaka Blk D3 No 10 Rt/Rw 014/005 Ke desa Pangampelan  Kec Walantaka Kota  Serang</t>
  </si>
  <si>
    <t>H241232</t>
  </si>
  <si>
    <t>3603011104030000</t>
  </si>
  <si>
    <t>Bukit gading Balara Blok J 6/32 Rt 006/005 desa Cangkudu Kec Balaraja Kec Balaraja Kab Tangerang</t>
  </si>
  <si>
    <t>H250542</t>
  </si>
  <si>
    <t>1307086112970001</t>
  </si>
  <si>
    <t>21/12/1997</t>
  </si>
  <si>
    <t>TCP blok S4 No 24 Rt/Rw 007/005 Pager agung walamtaka kota serang</t>
  </si>
  <si>
    <t>3205191001050009</t>
  </si>
  <si>
    <t>21/12/1999</t>
  </si>
  <si>
    <t>BelumMenikah</t>
  </si>
  <si>
    <t>H250653</t>
  </si>
  <si>
    <t>3604340307050002</t>
  </si>
  <si>
    <t>16/06/2025</t>
  </si>
  <si>
    <t>BTN Junti Asri Blok J20 no 12 Rt 011/004 penamping Bandung Kab serang</t>
  </si>
  <si>
    <t>H250437</t>
  </si>
  <si>
    <t>3604181909950001</t>
  </si>
  <si>
    <t>28/12/1996</t>
  </si>
  <si>
    <t>Kp Sabiayunan rt 001/001 Ds lamaran Binuang kab serang</t>
  </si>
  <si>
    <t>H250661</t>
  </si>
  <si>
    <t>NUROHMAH</t>
  </si>
  <si>
    <t>3604177110020001</t>
  </si>
  <si>
    <t>28/12/1997</t>
  </si>
  <si>
    <t>30/06/2025</t>
  </si>
  <si>
    <t>Kp Kidongdong Pasir Rt/Rw 006/002 Ds Mekarsari kec Carenang Kab Serang Banten</t>
  </si>
  <si>
    <t>H250659</t>
  </si>
  <si>
    <t>FEBY PUTRI AULIA SIMANULLANG</t>
  </si>
  <si>
    <t>120106651150001</t>
  </si>
  <si>
    <t>Kristen</t>
  </si>
  <si>
    <t>28/12/1999</t>
  </si>
  <si>
    <t>KP GAMBAR RT 3/6 NAMBO ILIR KIBIN</t>
  </si>
  <si>
    <t>NURDIANSYAH</t>
  </si>
  <si>
    <t>3604250111890004</t>
  </si>
  <si>
    <t>28/12/2001</t>
  </si>
  <si>
    <t>Kp Gedong Rt 006/002 mekar sari sajira kab lebak</t>
  </si>
  <si>
    <t>H250656</t>
  </si>
  <si>
    <t>BADRIAH</t>
  </si>
  <si>
    <t>3604157010040007</t>
  </si>
  <si>
    <t>28/12/2002</t>
  </si>
  <si>
    <t>Kp Ciherang Rt/Rw 003/005 Desa Cikande Kec Cikande Kab Serang</t>
  </si>
  <si>
    <t>3604162801820001</t>
  </si>
  <si>
    <t>KP. GAMBAR RT 3/6 NAMBO ILIR KEC. KIBIN</t>
  </si>
  <si>
    <t>Maintenance</t>
  </si>
  <si>
    <t>3604152102870003</t>
  </si>
  <si>
    <t>KP PASAR LAMA RT002/001 DESA CIKANDE KEC.CIKANDE</t>
  </si>
  <si>
    <t>H250229</t>
  </si>
  <si>
    <t>360415220279002</t>
  </si>
  <si>
    <t>Kp dahu Pasir RT/RW 001/007 Parigi Cikande Kab Serang</t>
  </si>
  <si>
    <t>3604181704020001</t>
  </si>
  <si>
    <t>S1</t>
  </si>
  <si>
    <t>Kp. Sambiayunan RT/RW 001/001 Ds. Lamaran Kec. Binuang Serang-Banten</t>
  </si>
  <si>
    <t>ENG</t>
  </si>
  <si>
    <t>Engenering</t>
  </si>
  <si>
    <t>3603121804950014</t>
  </si>
  <si>
    <t>KP TEUREUP RT 02/02 SUKAHARJA SINDANG JAYA</t>
  </si>
  <si>
    <t>3601080302900003</t>
  </si>
  <si>
    <t>KP. CIKAWUNG RT 02/05 DS. LEBAK MUNJUL PANDEGLANG</t>
  </si>
  <si>
    <t>GUDANG,IQC,OQC</t>
  </si>
  <si>
    <t>360415590790001</t>
  </si>
  <si>
    <t>19/07/1999</t>
  </si>
  <si>
    <t>KP Pengkolan Asem Rt 01/01 Desa Cikande Serang Banten</t>
  </si>
  <si>
    <t>TZ2265079</t>
  </si>
  <si>
    <t>-</t>
  </si>
  <si>
    <t>Kondominium Wesling B802 Kedoya Selatan Kebon Jeruk Jakarta Barat</t>
  </si>
  <si>
    <t>Direktur Utama</t>
  </si>
  <si>
    <t>KIMURA KENJI</t>
  </si>
  <si>
    <t>TZ1344406</t>
  </si>
  <si>
    <t>26/9/1980</t>
  </si>
  <si>
    <t>Apartemen branz BSD Ai.Jl BSD Boulevard Parcel 55F,Grand CBD City Pangedangan ,Tangerang-Banten 15339</t>
  </si>
  <si>
    <t>Staff</t>
  </si>
  <si>
    <t>Manager Produksi</t>
  </si>
  <si>
    <t>3604091607700004</t>
  </si>
  <si>
    <t>ACC</t>
  </si>
  <si>
    <t>3673036210790002</t>
  </si>
  <si>
    <t>GRAHA WALANTAKA RT 014/006 PANGAMPELAN WALANTAKA</t>
  </si>
  <si>
    <t>Ass ACC</t>
  </si>
  <si>
    <t>0004083</t>
  </si>
  <si>
    <t>3603012601740002</t>
  </si>
  <si>
    <t>BUKIT GADING BALARAJA BLK J 6/28 RT 6/4 CANGKUDU BALARAJA</t>
  </si>
  <si>
    <t>HRGA</t>
  </si>
  <si>
    <t>3604155802780001</t>
  </si>
  <si>
    <t>CIKANDE PERMAI K 2/10 RT 05/06 SITU TERATE CIKANDE</t>
  </si>
  <si>
    <t>PPIC,Exim</t>
  </si>
  <si>
    <t>3604092305940001</t>
  </si>
  <si>
    <t>LINK KALODRAN RT/RW. 02/01 KEC.WALANTAKA</t>
  </si>
  <si>
    <t>QA</t>
  </si>
  <si>
    <t>3604097110730001</t>
  </si>
  <si>
    <t>TCP BLK H.9 NO.19 RT/RW.00 4/005 CITEREP PELAWAD CIRUAS</t>
  </si>
  <si>
    <t>PURC</t>
  </si>
  <si>
    <t>3604154102950000</t>
  </si>
  <si>
    <t>CIKANDE PERMAI BLOK T-20/31.A RT 8/8 SITU TERATE CIKANDE SERANG BANTEN</t>
  </si>
  <si>
    <t>Purch</t>
  </si>
  <si>
    <t>3604090204010004</t>
  </si>
  <si>
    <t>ASS Acc</t>
  </si>
  <si>
    <t>3602151502730002</t>
  </si>
  <si>
    <t>KP LEBAK MADANG RT 07/03 KP LEBAK MADANG WARUNGGUNUNG  RANGKAS BITUNG</t>
  </si>
  <si>
    <t>Kepala bagian</t>
  </si>
  <si>
    <t>3604162401740001</t>
  </si>
  <si>
    <t>3604156002760006</t>
  </si>
  <si>
    <t>KP PASAR LAMA RT02/01 CIKANDE Kab Serang</t>
  </si>
  <si>
    <t>3603270708740001</t>
  </si>
  <si>
    <t>KP.CEPLAK RT/RW.001/001 DS.KALIASIN KEC.SUKAMULYA</t>
  </si>
  <si>
    <t>3604024309780302</t>
  </si>
  <si>
    <t>PURIMAS BLOK C7/05 RT/RW.006/004 DS.SITUTERATE KEC.CIKANDE</t>
  </si>
  <si>
    <t>3604152809710003</t>
  </si>
  <si>
    <t>CIKANDE PERMAI T-20/31.A RT 8/8 SITU TERATE CIKANDE</t>
  </si>
  <si>
    <t>0005024</t>
  </si>
  <si>
    <t>3604151701770002</t>
  </si>
  <si>
    <t>3672054301820001</t>
  </si>
  <si>
    <t>LINK. TELU RT/RW. 003/004 JOMBANG WETAN  CILEGON</t>
  </si>
  <si>
    <t>3604102006870056</t>
  </si>
  <si>
    <t>KP.PERISEN RT 2/3 KIARA WALANTAKA</t>
  </si>
  <si>
    <t>Security</t>
  </si>
  <si>
    <t>3604345103920002</t>
  </si>
  <si>
    <t>KP.MAJA RT/RW 007/006 DESA MANDER KEC .BANDUNG</t>
  </si>
  <si>
    <t>3604151007810005</t>
  </si>
  <si>
    <t>PERUM PONDOK DEWATA BLOK A05 NO21 RT.001 RW.013 DESA CIKANDE</t>
  </si>
  <si>
    <t>3604151006710000</t>
  </si>
  <si>
    <t>PERUM CLUSTER PERSADA JAYANTI BLOK P NO.4  RT/RW. 26/10 JAYANTI</t>
  </si>
  <si>
    <t>3604152503970001</t>
  </si>
  <si>
    <t>Cikande permai blok H10/02 Rt 006/004
Ds. Cikande permai kc.cikande kb.serang prov. Banten</t>
  </si>
  <si>
    <t>3603011911030009</t>
  </si>
  <si>
    <t>3317051902980004</t>
  </si>
  <si>
    <t>Kp Sumur Bandung Rt/Rw 003/001 kel Sumur Bandung Jayanti Kab Tangerang</t>
  </si>
  <si>
    <t>3603300311820001</t>
  </si>
  <si>
    <t>Kp. Cangkudu Rt 06/03 Ds. Cangkudu kec. Balaraja</t>
  </si>
  <si>
    <t>Driver</t>
  </si>
  <si>
    <t>HARRY SUSANTO</t>
  </si>
  <si>
    <t>3275051006820033</t>
  </si>
  <si>
    <t>26/12/2025</t>
  </si>
  <si>
    <t>Kp Rawa Roko Rt 006 Rw 001 Kel bojong rawalumbu kec.Rawalumbu Kota Bekasi Prov Jawa Barat</t>
  </si>
  <si>
    <t>DANIEL HAMONANGAN SIPAHUTAR</t>
  </si>
  <si>
    <t>1273030211040001</t>
  </si>
  <si>
    <t>Jl Raja wali No 30 RT 000/000Kel Aek HabilKec Sibolga selatan Sumatra Utara</t>
  </si>
  <si>
    <t>AJI SANTOSO</t>
  </si>
  <si>
    <t>3604162511000001</t>
  </si>
  <si>
    <t>Kp Bayur Rt 004/001 Nambo Udik Cikande Kab serang</t>
  </si>
  <si>
    <t>AURA RIZKA RAMADHAN</t>
  </si>
  <si>
    <t>3693035509070002</t>
  </si>
  <si>
    <t>15/09/2007</t>
  </si>
  <si>
    <t xml:space="preserve">Kp Sukamulya RT 003/003 Tigaraksa </t>
  </si>
  <si>
    <t>MOHAMAD SALIM AL-FATIH</t>
  </si>
  <si>
    <t>3603011304070000</t>
  </si>
  <si>
    <t>13/04/2007</t>
  </si>
  <si>
    <t>Bukit gading balaraja RT 010/004 Desa Cangkudu Kec Balaraja Kab Tangerang</t>
  </si>
  <si>
    <t>3603014905010002</t>
  </si>
  <si>
    <t>26 /4/ 2026</t>
  </si>
  <si>
    <t>KOMP PANJUNAN INDAH RT 002 / RW 002 DS BANTEN KOTA SERANG</t>
  </si>
  <si>
    <t>ARISAH</t>
  </si>
  <si>
    <t>3604155105840006</t>
  </si>
  <si>
    <t>KP.CIHERANG RT/RW.003/005 DS.CIKANDE</t>
  </si>
  <si>
    <t>3603026009900003</t>
  </si>
  <si>
    <t>KP. PAJAGAN RT. 004/004 DS. CIKANDE KEC. JAYANTI TANGERANG</t>
  </si>
  <si>
    <t>3604156906870005</t>
  </si>
  <si>
    <t>KP CIMASUK RT 03/03 DS.CIKANDE PERMAI, CIKANDE</t>
  </si>
  <si>
    <t>3604156409820003</t>
  </si>
  <si>
    <t>Kp. Pasar Lama RT/RW 002/001 Des. Cikande Kec. Cikande Kab. Serang - Banten</t>
  </si>
  <si>
    <t>PUTRI SURYANI AMANDA</t>
  </si>
  <si>
    <t>3603196207030005</t>
  </si>
  <si>
    <t>Mekar asri Blok G 01.03A RT/RW 002/006 Mekar bakti Panongan</t>
  </si>
  <si>
    <t>3604166802040002</t>
  </si>
  <si>
    <t>28/02/2004</t>
  </si>
  <si>
    <t>Kp gambar Masjig RT/RW 001/006 Nambo ilir  Kibin kab serang</t>
  </si>
  <si>
    <t>GESYA MARIYANTI</t>
  </si>
  <si>
    <t>3604156112060002</t>
  </si>
  <si>
    <t>Puriteratai blok B-01/2 RT/RW 001/003 Desa Situterate Kecamatan Cikande Kabupaten Serang</t>
  </si>
  <si>
    <t>IQBAL P</t>
  </si>
  <si>
    <t>3604090511060002</t>
  </si>
  <si>
    <t>21/12/2006</t>
  </si>
  <si>
    <t>TAMAN CIRUAS PERMAI BLK J.5 NO.22 RT 002/004 PLAWAT CIRUAS KAB SERANG</t>
  </si>
  <si>
    <t>3604150909800005</t>
  </si>
  <si>
    <t>26/12/2026</t>
  </si>
  <si>
    <t>LINGK CILOWONG RT02/002 DESA CILOWONG CIGENGGE DES CIBENDUNG KEC TAKTAKAN KOTA SERANG</t>
  </si>
  <si>
    <t>3604095102840008</t>
  </si>
  <si>
    <t>Perumahan taman ciruas</t>
  </si>
  <si>
    <t>3604154108000001</t>
  </si>
  <si>
    <t>KP.TARIKOLOT RT/RW.003/002 DS.CIKANDE KEC.CIKANDE</t>
  </si>
  <si>
    <t>3604154806920001</t>
  </si>
  <si>
    <t>KP.Pasar Lama Rt002/001 Kel Cikande Desa Cikande Kab Serang</t>
  </si>
  <si>
    <t>H241223</t>
  </si>
  <si>
    <t>3604155207060000</t>
  </si>
  <si>
    <t>3604155707940001</t>
  </si>
  <si>
    <t>KP.PASAR LAMA RT 002/001 DESA CIKANDE , KEC.CIKANDE</t>
  </si>
  <si>
    <t>3603012008010005</t>
  </si>
  <si>
    <t>Perumahan Bukit Gading Balaraja Blok J6 no.23a Rt06/Rw05 ,Desa Cangkudu , Kab. Balaraja , Prov. Banten</t>
  </si>
  <si>
    <t>3604114905010002</t>
  </si>
  <si>
    <t>KP.BOLANG BEJI RT/RW.007/003 DS.TERAS BENDUNG KEC.LEBAK WANGI</t>
  </si>
  <si>
    <t>3604154105830001</t>
  </si>
  <si>
    <t>KP PABUARAN RT 01/04 CIKANDE kab serang</t>
  </si>
  <si>
    <t>3603175011860009</t>
  </si>
  <si>
    <t>Binong Permai Blok  J 11 No 4 Rt 007 Rw 0014 Binong Curuk Tangerang</t>
  </si>
  <si>
    <t>H250648</t>
  </si>
  <si>
    <t>3601084107010055</t>
  </si>
  <si>
    <t>kp ciakar Rt/rw 002/001 Desa Munjul Kec Munjul Kab Pandeglang</t>
  </si>
  <si>
    <t>H250649</t>
  </si>
  <si>
    <t>SELI EKA F</t>
  </si>
  <si>
    <t>3604154707080001</t>
  </si>
  <si>
    <t>Kp Pabuaran Rt 001 Rw 004 desa Cikande kec Cikande Serang Banten</t>
  </si>
  <si>
    <t>3604156001820001</t>
  </si>
  <si>
    <t xml:space="preserve">KP CIHERANG RT/RW 03/05 DESA CIKANDE  KEC.CIKANDE </t>
  </si>
  <si>
    <t>3604155605970002</t>
  </si>
  <si>
    <t>Kp.gedong burung RT.002 RW. 002 Des. Situterate kec. Cikande</t>
  </si>
  <si>
    <t>3604156401010001</t>
  </si>
  <si>
    <t>24/01/2001</t>
  </si>
  <si>
    <t>Kp Barengkok Ds Sukatani Rt/Rw 003/002 Kec Cikande Kab serang Banten</t>
  </si>
  <si>
    <t>H250436</t>
  </si>
  <si>
    <t>3604156401010003</t>
  </si>
  <si>
    <t>22/1/2001</t>
  </si>
  <si>
    <t>Kp Panebong,gorda asem</t>
  </si>
  <si>
    <t>3604154205820010</t>
  </si>
  <si>
    <t>Kp Banjar Sari  RT/RW 02/02 DESA CIKANDE  KEC.CIKANDE Kab Serang</t>
  </si>
  <si>
    <t>3603015509970003</t>
  </si>
  <si>
    <t xml:space="preserve">Perumahan Bukit Gading Balaraja Blok J5 no. 9 RT/RW 06/05 kec. Balaraja kab. Tangerang </t>
  </si>
  <si>
    <t>■ Total Karyawan</t>
  </si>
  <si>
    <t>Total</t>
  </si>
  <si>
    <t>■Bagian</t>
  </si>
  <si>
    <t>Keterangan :</t>
  </si>
  <si>
    <t>■Warga Negara</t>
  </si>
  <si>
    <t>WNA</t>
  </si>
  <si>
    <t>WNI</t>
  </si>
  <si>
    <t>P3(Latex)</t>
  </si>
  <si>
    <t>■Status Karyawan</t>
  </si>
  <si>
    <t>Kontrak</t>
  </si>
  <si>
    <t>Tetap</t>
  </si>
  <si>
    <t>PKWTP</t>
  </si>
  <si>
    <t>Sub Total</t>
  </si>
  <si>
    <t>PKWTL</t>
  </si>
  <si>
    <t>PKWTTL</t>
  </si>
  <si>
    <t>PKWTTP</t>
  </si>
  <si>
    <t>HARIANP</t>
  </si>
  <si>
    <t>HARIANL</t>
  </si>
  <si>
    <t>Total SMK+SMA</t>
  </si>
  <si>
    <t>HERLINA*</t>
  </si>
  <si>
    <t>RATIH*</t>
  </si>
  <si>
    <t>NUR SUCIATI*</t>
  </si>
  <si>
    <t>LAMSIAH*</t>
  </si>
  <si>
    <t>SURTINAH*</t>
  </si>
  <si>
    <t>BUDI WAHYUDI*</t>
  </si>
  <si>
    <t>KOSIM*</t>
  </si>
  <si>
    <t>NURAIDA*</t>
  </si>
  <si>
    <t>A. IMRON  *</t>
  </si>
  <si>
    <t>M. ISMAIL*</t>
  </si>
  <si>
    <t>ARDANI*</t>
  </si>
  <si>
    <t>KAMSINAH*</t>
  </si>
  <si>
    <t>MURTINAH*</t>
  </si>
  <si>
    <t>YAYAH ROHAYAH*</t>
  </si>
  <si>
    <t>SUPRAPTO*</t>
  </si>
  <si>
    <t>SUGENG WIDO*</t>
  </si>
  <si>
    <t>MASDIAN LESMANA*</t>
  </si>
  <si>
    <t>JUHAEDI*</t>
  </si>
  <si>
    <t>IKHSAN SAEPUDIN*</t>
  </si>
  <si>
    <t>WIWIN WINARSIH*</t>
  </si>
  <si>
    <t>SAPRUDIN*</t>
  </si>
  <si>
    <t>HERU SUTIYONO*</t>
  </si>
  <si>
    <t>DIAH AYU*</t>
  </si>
  <si>
    <t>AHMAD HUDAE*</t>
  </si>
  <si>
    <t>HENDI*</t>
  </si>
  <si>
    <t>SOFIATUN*</t>
  </si>
  <si>
    <t>DARUN*</t>
  </si>
  <si>
    <t>SALIM*</t>
  </si>
  <si>
    <t>GAGUKSUNAR*</t>
  </si>
  <si>
    <t>ACUN*</t>
  </si>
  <si>
    <t>NURULMUTOH*</t>
  </si>
  <si>
    <t>ROSIAH*</t>
  </si>
  <si>
    <t>YUSRI ARYADILLAH*</t>
  </si>
  <si>
    <t>ARSAH*</t>
  </si>
  <si>
    <t>ERIK*</t>
  </si>
  <si>
    <t>NOVELI*</t>
  </si>
  <si>
    <t>NURHAYATI*</t>
  </si>
  <si>
    <t>SITI RATNASARI*</t>
  </si>
  <si>
    <t>PARASIAN ED*</t>
  </si>
  <si>
    <t>SUMARTINI*</t>
  </si>
  <si>
    <t>RATNA SARI A*</t>
  </si>
  <si>
    <t>SURATMAN*</t>
  </si>
  <si>
    <t>ASNAWATI*</t>
  </si>
  <si>
    <t>ERNI JOHAN*</t>
  </si>
  <si>
    <t>HAYATIN NUPUS*</t>
  </si>
  <si>
    <t>Narsih*</t>
  </si>
  <si>
    <t>NENG WIWIN Y*</t>
  </si>
  <si>
    <t>NIFI NURMAHESA*</t>
  </si>
  <si>
    <t>NURUL HIDAYA*</t>
  </si>
  <si>
    <t>RICKY HANDIKA*</t>
  </si>
  <si>
    <t>EKAWATI*</t>
  </si>
  <si>
    <t>TITAH S*</t>
  </si>
  <si>
    <t>AHMAD NUR*</t>
  </si>
  <si>
    <t>DENI R SUHAR*</t>
  </si>
  <si>
    <t>TITIN S*</t>
  </si>
  <si>
    <t>MUHAMMAD NURWAHID S*</t>
  </si>
  <si>
    <t>SITI TALIFATUL*</t>
  </si>
  <si>
    <t>SADIYAH*</t>
  </si>
  <si>
    <t>HANAFI*</t>
  </si>
  <si>
    <t>EKA RISDIANTI*</t>
  </si>
  <si>
    <t>SUMIYATI*</t>
  </si>
  <si>
    <t>ELISABETH SIP*</t>
  </si>
  <si>
    <t>YOSHINORI KOYAMA*</t>
  </si>
  <si>
    <t>MERRY*</t>
  </si>
  <si>
    <t>ANDI JUNAEDI*</t>
  </si>
  <si>
    <t>FU'AD*</t>
  </si>
  <si>
    <t>PUPUT*</t>
  </si>
  <si>
    <t>WILDAN*</t>
  </si>
  <si>
    <t>RAIHAN FADLI*</t>
  </si>
  <si>
    <t>MUHAMMAD HAMAMI*</t>
  </si>
  <si>
    <t>TINI*</t>
  </si>
  <si>
    <t>ALFI ALFIAH*</t>
  </si>
  <si>
    <t>ZELNIA WITRA DELVI*</t>
  </si>
  <si>
    <t>Septian*</t>
  </si>
  <si>
    <t>AJAT AKBAR*</t>
  </si>
  <si>
    <t>ALYA DEWI PRATIWI*</t>
  </si>
  <si>
    <t>INTAN NURAINI*</t>
  </si>
  <si>
    <t>ARYO JATI PAMUNGKAS*</t>
  </si>
  <si>
    <t>M NURDIN*</t>
  </si>
  <si>
    <t>RACHMAT ZAE*</t>
  </si>
  <si>
    <t>DIMAS*</t>
  </si>
  <si>
    <t>RIZA RATNADILLA*</t>
  </si>
  <si>
    <t>PERMATA SAFHWA THALITA*</t>
  </si>
  <si>
    <t>FRANS ZELLIUS SAPUTRA SIMANULANG*</t>
  </si>
  <si>
    <t>ALIYAH*</t>
  </si>
  <si>
    <t>AHMAD ANDREY PRASETYA*</t>
  </si>
  <si>
    <t>DIKY IKHSAN RAMDANI*</t>
  </si>
  <si>
    <t>WALUYO BP*</t>
  </si>
  <si>
    <t>MANDA ELISA AMELIA*</t>
  </si>
  <si>
    <t>MAHMUD ZAINAL ARIFIN*</t>
  </si>
  <si>
    <t>FADHILAH UTAMI YOHANDI*</t>
  </si>
  <si>
    <t>ALFINTANUR F*</t>
  </si>
  <si>
    <t>MIRA ERIA*</t>
  </si>
  <si>
    <t>RONAL E*</t>
  </si>
  <si>
    <t>SAPINAH*</t>
  </si>
  <si>
    <t>LUTFHI RISCA TURMUZY*</t>
  </si>
  <si>
    <t>HEDRWIN SUR*</t>
  </si>
  <si>
    <t>NADIA MONICA SELLY*</t>
  </si>
  <si>
    <t>nama</t>
  </si>
  <si>
    <t>no_ktp</t>
  </si>
  <si>
    <t>agama</t>
  </si>
  <si>
    <t>status</t>
  </si>
  <si>
    <t>jenis_kelamin</t>
  </si>
  <si>
    <t>tanggal_lahir</t>
  </si>
  <si>
    <t>pendidikan</t>
  </si>
  <si>
    <t>status_pernikahan</t>
  </si>
  <si>
    <t>masuk_bekerja</t>
  </si>
  <si>
    <t>awal_kontrak</t>
  </si>
  <si>
    <t>akhir_kontrak</t>
  </si>
  <si>
    <t>alamat</t>
  </si>
  <si>
    <t>jabatan</t>
  </si>
  <si>
    <t>bagian</t>
  </si>
  <si>
    <t>masa_kerja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</si>
</sst>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8"/>
      <name val="Arial"/>
      <family val="2"/>
    </font>
    <font>
      <b/>
      <sz val="22"/>
      <name val="Arial"/>
      <family val="2"/>
    </font>
    <font>
      <b/>
      <sz val="28"/>
      <color theme="1"/>
      <name val="Arial"/>
      <family val="2"/>
    </font>
    <font>
      <b/>
      <sz val="28"/>
      <color theme="0"/>
      <name val="Arial"/>
      <family val="2"/>
    </font>
    <font>
      <b/>
      <sz val="34"/>
      <color theme="0"/>
      <name val="Arial"/>
      <family val="2"/>
    </font>
    <font>
      <b/>
      <sz val="3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ont="0" applyFill="0" applyBorder="0" applyAlignment="0" applyProtection="0">
      <alignment vertical="top"/>
    </xf>
    <xf numFmtId="0" fontId="1" fillId="0" borderId="0"/>
  </cellStyleXfs>
  <cellXfs count="194">
    <xf numFmtId="0" fontId="0" fillId="0" borderId="0" xfId="0"/>
    <xf numFmtId="0" fontId="3" fillId="0" borderId="0" xfId="2" applyNumberFormat="1" applyFont="1" applyFill="1" applyBorder="1" applyAlignment="1" applyProtection="1">
      <alignment horizontal="left" vertical="top"/>
    </xf>
    <xf numFmtId="0" fontId="4" fillId="0" borderId="0" xfId="1" applyNumberFormat="1" applyFont="1" applyFill="1" applyAlignment="1">
      <alignment horizontal="right" vertical="top" wrapText="1"/>
    </xf>
    <xf numFmtId="0" fontId="4" fillId="0" borderId="0" xfId="1" applyNumberFormat="1" applyFont="1" applyFill="1" applyAlignment="1">
      <alignment horizontal="left" vertical="top"/>
    </xf>
    <xf numFmtId="165" fontId="4" fillId="0" borderId="0" xfId="1" applyNumberFormat="1" applyFont="1" applyFill="1" applyAlignment="1">
      <alignment horizontal="right" wrapText="1"/>
    </xf>
    <xf numFmtId="165" fontId="4" fillId="0" borderId="0" xfId="1" applyNumberFormat="1" applyFont="1" applyFill="1" applyAlignment="1">
      <alignment horizontal="right" vertical="top"/>
    </xf>
    <xf numFmtId="165" fontId="4" fillId="0" borderId="0" xfId="1" applyNumberFormat="1" applyFont="1" applyFill="1" applyAlignment="1">
      <alignment horizontal="right" vertical="top" wrapText="1"/>
    </xf>
    <xf numFmtId="14" fontId="4" fillId="0" borderId="0" xfId="1" applyNumberFormat="1" applyFont="1" applyFill="1" applyAlignment="1">
      <alignment horizontal="right" vertical="top" wrapText="1"/>
    </xf>
    <xf numFmtId="165" fontId="4" fillId="0" borderId="0" xfId="1" applyNumberFormat="1" applyFont="1" applyFill="1" applyAlignment="1">
      <alignment horizontal="left" vertical="top"/>
    </xf>
    <xf numFmtId="165" fontId="4" fillId="0" borderId="0" xfId="1" applyNumberFormat="1" applyFont="1" applyFill="1" applyAlignment="1">
      <alignment horizontal="left" vertical="top" wrapText="1"/>
    </xf>
    <xf numFmtId="165" fontId="4" fillId="0" borderId="0" xfId="1" applyNumberFormat="1" applyFont="1" applyFill="1" applyBorder="1" applyAlignment="1" applyProtection="1">
      <alignment horizontal="right" vertical="top"/>
    </xf>
    <xf numFmtId="0" fontId="4" fillId="0" borderId="0" xfId="1" applyNumberFormat="1" applyFont="1" applyFill="1" applyBorder="1" applyAlignment="1" applyProtection="1">
      <alignment horizontal="right" vertical="top"/>
    </xf>
    <xf numFmtId="0" fontId="4" fillId="0" borderId="0" xfId="1" applyNumberFormat="1" applyFont="1" applyFill="1" applyBorder="1" applyAlignment="1" applyProtection="1">
      <alignment horizontal="left" vertical="top"/>
    </xf>
    <xf numFmtId="165" fontId="4" fillId="0" borderId="0" xfId="1" applyNumberFormat="1" applyFont="1" applyFill="1" applyBorder="1" applyAlignment="1" applyProtection="1">
      <alignment horizontal="left" vertical="top"/>
    </xf>
    <xf numFmtId="165" fontId="3" fillId="3" borderId="1" xfId="1" applyNumberFormat="1" applyFont="1" applyFill="1" applyBorder="1" applyAlignment="1" applyProtection="1">
      <alignment horizontal="left" vertical="top" wrapText="1"/>
    </xf>
    <xf numFmtId="0" fontId="3" fillId="3" borderId="1" xfId="1" applyNumberFormat="1" applyFont="1" applyFill="1" applyBorder="1" applyAlignment="1" applyProtection="1">
      <alignment horizontal="left" vertical="top" wrapText="1"/>
    </xf>
    <xf numFmtId="0" fontId="3" fillId="3" borderId="1" xfId="1" applyNumberFormat="1" applyFont="1" applyFill="1" applyBorder="1" applyAlignment="1" applyProtection="1">
      <alignment horizontal="left" vertical="top"/>
    </xf>
    <xf numFmtId="165" fontId="3" fillId="3" borderId="1" xfId="1" applyNumberFormat="1" applyFont="1" applyFill="1" applyBorder="1" applyAlignment="1" applyProtection="1">
      <alignment horizontal="left" wrapText="1"/>
      <protection locked="0"/>
    </xf>
    <xf numFmtId="165" fontId="3" fillId="3" borderId="1" xfId="1" applyNumberFormat="1" applyFont="1" applyFill="1" applyBorder="1" applyAlignment="1" applyProtection="1">
      <alignment horizontal="left" vertical="top"/>
      <protection locked="0"/>
    </xf>
    <xf numFmtId="165" fontId="3" fillId="3" borderId="1" xfId="1" applyNumberFormat="1" applyFont="1" applyFill="1" applyBorder="1" applyAlignment="1" applyProtection="1">
      <alignment horizontal="left" vertical="top" wrapText="1"/>
      <protection locked="0"/>
    </xf>
    <xf numFmtId="14" fontId="3" fillId="3" borderId="1" xfId="1" applyNumberFormat="1" applyFont="1" applyFill="1" applyBorder="1" applyAlignment="1" applyProtection="1">
      <alignment horizontal="left" vertical="top" wrapText="1"/>
      <protection locked="0"/>
    </xf>
    <xf numFmtId="14" fontId="3" fillId="3" borderId="1" xfId="1" applyNumberFormat="1" applyFont="1" applyFill="1" applyBorder="1" applyAlignment="1">
      <alignment horizontal="left" vertical="top" wrapText="1"/>
    </xf>
    <xf numFmtId="0" fontId="3" fillId="3" borderId="1" xfId="1" applyNumberFormat="1" applyFont="1" applyFill="1" applyBorder="1" applyAlignment="1" applyProtection="1">
      <alignment horizontal="left" vertical="top" wrapText="1"/>
      <protection locked="0"/>
    </xf>
    <xf numFmtId="165" fontId="3" fillId="3" borderId="1" xfId="1" applyNumberFormat="1" applyFont="1" applyFill="1" applyBorder="1" applyAlignment="1" applyProtection="1">
      <alignment horizontal="left" vertical="top"/>
    </xf>
    <xf numFmtId="165" fontId="5" fillId="3" borderId="1" xfId="1" applyNumberFormat="1" applyFont="1" applyFill="1" applyBorder="1" applyAlignment="1">
      <alignment horizontal="left" vertical="top"/>
    </xf>
    <xf numFmtId="165" fontId="4" fillId="3" borderId="0" xfId="1" applyNumberFormat="1" applyFont="1" applyFill="1" applyAlignment="1">
      <alignment horizontal="right" vertical="top" wrapText="1"/>
    </xf>
    <xf numFmtId="165" fontId="3" fillId="4" borderId="1" xfId="1" applyNumberFormat="1" applyFont="1" applyFill="1" applyBorder="1" applyAlignment="1" applyProtection="1">
      <alignment horizontal="left" vertical="top" wrapText="1"/>
    </xf>
    <xf numFmtId="0" fontId="3" fillId="4" borderId="1" xfId="1" applyNumberFormat="1" applyFont="1" applyFill="1" applyBorder="1" applyAlignment="1" applyProtection="1">
      <alignment horizontal="left" vertical="top" wrapText="1"/>
    </xf>
    <xf numFmtId="0" fontId="3" fillId="4" borderId="1" xfId="1" applyNumberFormat="1" applyFont="1" applyFill="1" applyBorder="1" applyAlignment="1" applyProtection="1">
      <alignment horizontal="left" vertical="top"/>
    </xf>
    <xf numFmtId="165" fontId="3" fillId="4" borderId="1" xfId="1" applyNumberFormat="1" applyFont="1" applyFill="1" applyBorder="1" applyAlignment="1" applyProtection="1">
      <alignment horizontal="left" wrapText="1"/>
      <protection locked="0"/>
    </xf>
    <xf numFmtId="165" fontId="3" fillId="4" borderId="1" xfId="1" applyNumberFormat="1" applyFont="1" applyFill="1" applyBorder="1" applyAlignment="1" applyProtection="1">
      <alignment horizontal="left" vertical="top"/>
      <protection locked="0"/>
    </xf>
    <xf numFmtId="165" fontId="3" fillId="4" borderId="1" xfId="1" applyNumberFormat="1" applyFont="1" applyFill="1" applyBorder="1" applyAlignment="1" applyProtection="1">
      <alignment horizontal="left" vertical="top" wrapText="1"/>
      <protection locked="0"/>
    </xf>
    <xf numFmtId="14" fontId="3" fillId="4" borderId="1" xfId="1" applyNumberFormat="1" applyFont="1" applyFill="1" applyBorder="1" applyAlignment="1" applyProtection="1">
      <alignment horizontal="left" vertical="top" wrapText="1"/>
      <protection locked="0"/>
    </xf>
    <xf numFmtId="0" fontId="3" fillId="4" borderId="1" xfId="1" applyNumberFormat="1" applyFont="1" applyFill="1" applyBorder="1" applyAlignment="1" applyProtection="1">
      <alignment horizontal="left" vertical="top" wrapText="1"/>
      <protection locked="0"/>
    </xf>
    <xf numFmtId="165" fontId="3" fillId="4" borderId="1" xfId="1" applyNumberFormat="1" applyFont="1" applyFill="1" applyBorder="1" applyAlignment="1" applyProtection="1">
      <alignment horizontal="left" vertical="top"/>
    </xf>
    <xf numFmtId="165" fontId="5" fillId="4" borderId="1" xfId="1" applyNumberFormat="1" applyFont="1" applyFill="1" applyBorder="1" applyAlignment="1">
      <alignment horizontal="left" vertical="top"/>
    </xf>
    <xf numFmtId="165" fontId="4" fillId="4" borderId="0" xfId="1" applyNumberFormat="1" applyFont="1" applyFill="1" applyAlignment="1">
      <alignment horizontal="right" vertical="top" wrapText="1"/>
    </xf>
    <xf numFmtId="165" fontId="3" fillId="3" borderId="1" xfId="1" applyNumberFormat="1" applyFont="1" applyFill="1" applyBorder="1" applyAlignment="1">
      <alignment horizontal="left" vertical="top"/>
    </xf>
    <xf numFmtId="14" fontId="3" fillId="4" borderId="1" xfId="1" applyNumberFormat="1" applyFont="1" applyFill="1" applyBorder="1" applyAlignment="1">
      <alignment horizontal="left" vertical="top" wrapText="1"/>
    </xf>
    <xf numFmtId="165" fontId="3" fillId="4" borderId="1" xfId="1" applyNumberFormat="1" applyFont="1" applyFill="1" applyBorder="1" applyAlignment="1">
      <alignment horizontal="left" vertical="top"/>
    </xf>
    <xf numFmtId="0" fontId="3" fillId="3" borderId="1" xfId="1" quotePrefix="1" applyNumberFormat="1" applyFont="1" applyFill="1" applyBorder="1" applyAlignment="1" applyProtection="1">
      <alignment horizontal="left" vertical="top" wrapText="1"/>
    </xf>
    <xf numFmtId="165" fontId="3" fillId="3" borderId="1" xfId="1" quotePrefix="1" applyNumberFormat="1" applyFont="1" applyFill="1" applyBorder="1" applyAlignment="1" applyProtection="1">
      <alignment horizontal="left" wrapText="1"/>
      <protection locked="0"/>
    </xf>
    <xf numFmtId="14" fontId="3" fillId="4" borderId="1" xfId="1" quotePrefix="1" applyNumberFormat="1" applyFont="1" applyFill="1" applyBorder="1" applyAlignment="1" applyProtection="1">
      <alignment horizontal="left" wrapText="1"/>
      <protection locked="0"/>
    </xf>
    <xf numFmtId="14" fontId="3" fillId="4" borderId="1" xfId="1" applyNumberFormat="1" applyFont="1" applyFill="1" applyBorder="1" applyAlignment="1" applyProtection="1">
      <alignment horizontal="left" vertical="top"/>
      <protection locked="0"/>
    </xf>
    <xf numFmtId="14" fontId="3" fillId="4" borderId="1" xfId="1" applyNumberFormat="1" applyFont="1" applyFill="1" applyBorder="1" applyAlignment="1" applyProtection="1">
      <alignment horizontal="left" vertical="top"/>
    </xf>
    <xf numFmtId="14" fontId="5" fillId="4" borderId="1" xfId="1" applyNumberFormat="1" applyFont="1" applyFill="1" applyBorder="1" applyAlignment="1">
      <alignment horizontal="left" vertical="top"/>
    </xf>
    <xf numFmtId="14" fontId="4" fillId="4" borderId="0" xfId="1" applyNumberFormat="1" applyFont="1" applyFill="1" applyAlignment="1">
      <alignment horizontal="right" vertical="top" wrapText="1"/>
    </xf>
    <xf numFmtId="165" fontId="3" fillId="4" borderId="1" xfId="1" quotePrefix="1" applyNumberFormat="1" applyFont="1" applyFill="1" applyBorder="1" applyAlignment="1" applyProtection="1">
      <alignment horizontal="left" wrapText="1"/>
      <protection locked="0"/>
    </xf>
    <xf numFmtId="0" fontId="3" fillId="4" borderId="1" xfId="1" applyNumberFormat="1" applyFont="1" applyFill="1" applyBorder="1" applyAlignment="1">
      <alignment horizontal="left" vertical="top" wrapText="1"/>
    </xf>
    <xf numFmtId="0" fontId="3" fillId="4" borderId="1" xfId="1" applyNumberFormat="1" applyFont="1" applyFill="1" applyBorder="1" applyAlignment="1">
      <alignment horizontal="left" vertical="top"/>
    </xf>
    <xf numFmtId="165" fontId="3" fillId="0" borderId="1" xfId="1" applyNumberFormat="1" applyFont="1" applyFill="1" applyBorder="1" applyAlignment="1" applyProtection="1">
      <alignment horizontal="left" vertical="top" wrapText="1"/>
    </xf>
    <xf numFmtId="0" fontId="3" fillId="0" borderId="1" xfId="1" applyNumberFormat="1" applyFont="1" applyFill="1" applyBorder="1" applyAlignment="1">
      <alignment horizontal="left" vertical="top" wrapText="1"/>
    </xf>
    <xf numFmtId="0" fontId="3" fillId="0" borderId="1" xfId="1" applyNumberFormat="1" applyFont="1" applyFill="1" applyBorder="1" applyAlignment="1" applyProtection="1">
      <alignment horizontal="left" vertical="top"/>
    </xf>
    <xf numFmtId="165" fontId="3" fillId="0" borderId="1" xfId="1" quotePrefix="1" applyNumberFormat="1" applyFont="1" applyFill="1" applyBorder="1" applyAlignment="1" applyProtection="1">
      <alignment horizontal="left" wrapText="1"/>
      <protection locked="0"/>
    </xf>
    <xf numFmtId="165" fontId="3" fillId="0" borderId="1" xfId="1" applyNumberFormat="1" applyFont="1" applyFill="1" applyBorder="1" applyAlignment="1" applyProtection="1">
      <alignment horizontal="left" vertical="top"/>
      <protection locked="0"/>
    </xf>
    <xf numFmtId="165" fontId="3" fillId="0" borderId="1" xfId="1" applyNumberFormat="1" applyFont="1" applyFill="1" applyBorder="1" applyAlignment="1" applyProtection="1">
      <alignment horizontal="left" vertical="top" wrapText="1"/>
      <protection locked="0"/>
    </xf>
    <xf numFmtId="14" fontId="3" fillId="0" borderId="1" xfId="1" applyNumberFormat="1" applyFont="1" applyFill="1" applyBorder="1" applyAlignment="1" applyProtection="1">
      <alignment horizontal="left" vertical="top" wrapText="1"/>
      <protection locked="0"/>
    </xf>
    <xf numFmtId="14" fontId="3" fillId="0" borderId="1" xfId="1" applyNumberFormat="1" applyFont="1" applyFill="1" applyBorder="1" applyAlignment="1">
      <alignment horizontal="left" vertical="top"/>
    </xf>
    <xf numFmtId="0" fontId="3" fillId="0" borderId="1" xfId="1" applyNumberFormat="1" applyFont="1" applyFill="1" applyBorder="1" applyAlignment="1" applyProtection="1">
      <alignment horizontal="left" vertical="top" wrapText="1"/>
      <protection locked="0"/>
    </xf>
    <xf numFmtId="165" fontId="3" fillId="0" borderId="1" xfId="1" applyNumberFormat="1" applyFont="1" applyFill="1" applyBorder="1" applyAlignment="1" applyProtection="1">
      <alignment horizontal="left" vertical="top"/>
    </xf>
    <xf numFmtId="165" fontId="3" fillId="0" borderId="1" xfId="1" applyNumberFormat="1" applyFont="1" applyFill="1" applyBorder="1" applyAlignment="1">
      <alignment horizontal="left" vertical="top"/>
    </xf>
    <xf numFmtId="165" fontId="5" fillId="0" borderId="1" xfId="1" applyNumberFormat="1" applyFont="1" applyFill="1" applyBorder="1" applyAlignment="1">
      <alignment horizontal="left" vertical="top"/>
    </xf>
    <xf numFmtId="165" fontId="3" fillId="4" borderId="1" xfId="1" applyNumberFormat="1" applyFont="1" applyFill="1" applyBorder="1" applyAlignment="1" applyProtection="1">
      <alignment horizontal="left"/>
      <protection locked="0"/>
    </xf>
    <xf numFmtId="14" fontId="3" fillId="4" borderId="1" xfId="1" applyNumberFormat="1" applyFont="1" applyFill="1" applyBorder="1" applyAlignment="1">
      <alignment horizontal="left" vertical="top"/>
    </xf>
    <xf numFmtId="0" fontId="3" fillId="4" borderId="1" xfId="1" applyNumberFormat="1" applyFont="1" applyFill="1" applyBorder="1" applyAlignment="1" applyProtection="1">
      <alignment horizontal="left" vertical="top"/>
      <protection locked="0"/>
    </xf>
    <xf numFmtId="165" fontId="4" fillId="4" borderId="0" xfId="1" applyNumberFormat="1" applyFont="1" applyFill="1" applyAlignment="1">
      <alignment horizontal="right" vertical="top"/>
    </xf>
    <xf numFmtId="165" fontId="3" fillId="4" borderId="1" xfId="1" quotePrefix="1" applyNumberFormat="1" applyFont="1" applyFill="1" applyBorder="1" applyAlignment="1" applyProtection="1">
      <alignment horizontal="left"/>
      <protection locked="0"/>
    </xf>
    <xf numFmtId="165" fontId="3" fillId="3" borderId="1" xfId="1" applyNumberFormat="1" applyFont="1" applyFill="1" applyBorder="1" applyAlignment="1" applyProtection="1">
      <alignment horizontal="left"/>
      <protection locked="0"/>
    </xf>
    <xf numFmtId="14" fontId="3" fillId="3" borderId="1" xfId="1" applyNumberFormat="1" applyFont="1" applyFill="1" applyBorder="1" applyAlignment="1" applyProtection="1">
      <alignment horizontal="left" vertical="top"/>
      <protection locked="0"/>
    </xf>
    <xf numFmtId="14" fontId="3" fillId="3" borderId="1" xfId="1" applyNumberFormat="1" applyFont="1" applyFill="1" applyBorder="1" applyAlignment="1">
      <alignment horizontal="left" vertical="top"/>
    </xf>
    <xf numFmtId="0" fontId="3" fillId="3" borderId="1" xfId="1" applyNumberFormat="1" applyFont="1" applyFill="1" applyBorder="1" applyAlignment="1" applyProtection="1">
      <alignment horizontal="left" vertical="top"/>
      <protection locked="0"/>
    </xf>
    <xf numFmtId="165" fontId="4" fillId="3" borderId="0" xfId="1" applyNumberFormat="1" applyFont="1" applyFill="1" applyAlignment="1">
      <alignment horizontal="right" vertical="top"/>
    </xf>
    <xf numFmtId="14" fontId="3" fillId="4" borderId="1" xfId="1" quotePrefix="1" applyNumberFormat="1" applyFont="1" applyFill="1" applyBorder="1" applyAlignment="1" applyProtection="1">
      <alignment horizontal="left" vertical="top" wrapText="1"/>
      <protection locked="0"/>
    </xf>
    <xf numFmtId="14" fontId="3" fillId="3" borderId="1" xfId="1" applyNumberFormat="1" applyFont="1" applyFill="1" applyBorder="1" applyAlignment="1" applyProtection="1">
      <alignment horizontal="left" vertical="top" wrapText="1"/>
    </xf>
    <xf numFmtId="165" fontId="3" fillId="4" borderId="1" xfId="1" quotePrefix="1" applyNumberFormat="1" applyFont="1" applyFill="1" applyBorder="1" applyAlignment="1">
      <alignment horizontal="left" wrapText="1"/>
    </xf>
    <xf numFmtId="165" fontId="3" fillId="4" borderId="1" xfId="1" applyNumberFormat="1" applyFont="1" applyFill="1" applyBorder="1" applyAlignment="1">
      <alignment horizontal="left" vertical="top" wrapText="1"/>
    </xf>
    <xf numFmtId="0" fontId="3" fillId="4" borderId="2" xfId="1" applyNumberFormat="1" applyFont="1" applyFill="1" applyBorder="1" applyAlignment="1" applyProtection="1">
      <alignment horizontal="left" vertical="top" wrapText="1"/>
    </xf>
    <xf numFmtId="0" fontId="3" fillId="4" borderId="2" xfId="1" applyNumberFormat="1" applyFont="1" applyFill="1" applyBorder="1" applyAlignment="1" applyProtection="1">
      <alignment horizontal="left" vertical="top"/>
    </xf>
    <xf numFmtId="0" fontId="3" fillId="4" borderId="2" xfId="1" applyNumberFormat="1" applyFont="1" applyFill="1" applyBorder="1" applyAlignment="1">
      <alignment horizontal="left" vertical="top" wrapText="1"/>
    </xf>
    <xf numFmtId="0" fontId="3" fillId="4" borderId="1" xfId="2" applyNumberFormat="1" applyFont="1" applyFill="1" applyBorder="1" applyAlignment="1" applyProtection="1">
      <alignment vertical="top"/>
    </xf>
    <xf numFmtId="1" fontId="3" fillId="4" borderId="1" xfId="3" quotePrefix="1" applyNumberFormat="1" applyFont="1" applyFill="1" applyBorder="1" applyAlignment="1" applyProtection="1">
      <alignment vertical="top"/>
      <protection locked="0"/>
    </xf>
    <xf numFmtId="0" fontId="3" fillId="4" borderId="1" xfId="3" applyFont="1" applyFill="1" applyBorder="1" applyAlignment="1" applyProtection="1">
      <alignment vertical="top"/>
      <protection locked="0"/>
    </xf>
    <xf numFmtId="14" fontId="3" fillId="4" borderId="1" xfId="3" applyNumberFormat="1" applyFont="1" applyFill="1" applyBorder="1" applyAlignment="1" applyProtection="1">
      <alignment horizontal="left" vertical="top"/>
      <protection locked="0"/>
    </xf>
    <xf numFmtId="14" fontId="3" fillId="4" borderId="1" xfId="2" applyNumberFormat="1" applyFont="1" applyFill="1" applyBorder="1" applyAlignment="1" applyProtection="1">
      <alignment horizontal="left" vertical="top"/>
    </xf>
    <xf numFmtId="14" fontId="3" fillId="4" borderId="1" xfId="3" applyNumberFormat="1" applyFont="1" applyFill="1" applyBorder="1" applyAlignment="1" applyProtection="1">
      <alignment vertical="top"/>
      <protection locked="0"/>
    </xf>
    <xf numFmtId="0" fontId="3" fillId="4" borderId="0" xfId="0" applyFont="1" applyFill="1" applyAlignment="1">
      <alignment vertical="top"/>
    </xf>
    <xf numFmtId="0" fontId="3" fillId="4" borderId="1" xfId="2" applyNumberFormat="1" applyFont="1" applyFill="1" applyBorder="1" applyAlignment="1" applyProtection="1">
      <alignment horizontal="left" vertical="top"/>
    </xf>
    <xf numFmtId="1" fontId="5" fillId="4" borderId="1" xfId="3" applyNumberFormat="1" applyFont="1" applyFill="1" applyBorder="1" applyAlignment="1" applyProtection="1">
      <alignment horizontal="left" vertical="top"/>
      <protection locked="0"/>
    </xf>
    <xf numFmtId="0" fontId="5" fillId="4" borderId="1" xfId="3" applyFont="1" applyFill="1" applyBorder="1" applyAlignment="1" applyProtection="1">
      <alignment horizontal="left" vertical="top"/>
      <protection locked="0"/>
    </xf>
    <xf numFmtId="14" fontId="5" fillId="4" borderId="1" xfId="3" applyNumberFormat="1" applyFont="1" applyFill="1" applyBorder="1" applyAlignment="1" applyProtection="1">
      <alignment horizontal="left" vertical="top"/>
      <protection locked="0"/>
    </xf>
    <xf numFmtId="0" fontId="5" fillId="4" borderId="0" xfId="0" applyFont="1" applyFill="1" applyAlignment="1">
      <alignment horizontal="left" vertical="top"/>
    </xf>
    <xf numFmtId="165" fontId="3" fillId="0" borderId="0" xfId="1" applyNumberFormat="1" applyFont="1" applyFill="1" applyAlignment="1">
      <alignment horizontal="right" vertical="top" wrapText="1"/>
    </xf>
    <xf numFmtId="0" fontId="3" fillId="0" borderId="0" xfId="1" applyNumberFormat="1" applyFont="1" applyFill="1" applyAlignment="1">
      <alignment horizontal="right" vertical="top" wrapText="1"/>
    </xf>
    <xf numFmtId="0" fontId="3" fillId="0" borderId="0" xfId="1" applyNumberFormat="1" applyFont="1" applyFill="1" applyAlignment="1">
      <alignment horizontal="left" vertical="top"/>
    </xf>
    <xf numFmtId="165" fontId="3" fillId="0" borderId="0" xfId="1" applyNumberFormat="1" applyFont="1" applyFill="1" applyAlignment="1">
      <alignment horizontal="right" wrapText="1"/>
    </xf>
    <xf numFmtId="165" fontId="3" fillId="0" borderId="0" xfId="1" applyNumberFormat="1" applyFont="1" applyFill="1" applyAlignment="1">
      <alignment horizontal="right" vertical="top"/>
    </xf>
    <xf numFmtId="14" fontId="3" fillId="0" borderId="0" xfId="1" applyNumberFormat="1" applyFont="1" applyFill="1" applyAlignment="1">
      <alignment horizontal="right" vertical="top" wrapText="1"/>
    </xf>
    <xf numFmtId="165" fontId="3" fillId="0" borderId="0" xfId="1" applyNumberFormat="1" applyFont="1" applyFill="1" applyAlignment="1">
      <alignment horizontal="left" vertical="top"/>
    </xf>
    <xf numFmtId="165" fontId="3" fillId="0" borderId="0" xfId="1" applyNumberFormat="1" applyFont="1" applyFill="1" applyAlignment="1">
      <alignment horizontal="left" vertical="top" wrapText="1"/>
    </xf>
    <xf numFmtId="0" fontId="3" fillId="0" borderId="0" xfId="1" applyNumberFormat="1" applyFont="1" applyFill="1" applyAlignment="1">
      <alignment horizontal="right" vertical="center"/>
    </xf>
    <xf numFmtId="0" fontId="3" fillId="0" borderId="1" xfId="1" applyNumberFormat="1" applyFont="1" applyFill="1" applyBorder="1" applyAlignment="1">
      <alignment horizontal="left" vertical="top"/>
    </xf>
    <xf numFmtId="165" fontId="3" fillId="0" borderId="1" xfId="1" applyNumberFormat="1" applyFont="1" applyFill="1" applyBorder="1" applyAlignment="1">
      <alignment horizontal="right" wrapText="1"/>
    </xf>
    <xf numFmtId="14" fontId="3" fillId="0" borderId="0" xfId="1" applyNumberFormat="1" applyFont="1" applyFill="1" applyAlignment="1">
      <alignment horizontal="left" vertical="center"/>
    </xf>
    <xf numFmtId="165" fontId="3" fillId="0" borderId="0" xfId="1" applyNumberFormat="1" applyFont="1" applyFill="1" applyAlignment="1">
      <alignment horizontal="right" vertical="center"/>
    </xf>
    <xf numFmtId="165" fontId="3" fillId="0" borderId="0" xfId="1" applyNumberFormat="1" applyFont="1" applyFill="1" applyAlignment="1">
      <alignment horizontal="left" vertical="center"/>
    </xf>
    <xf numFmtId="14" fontId="3" fillId="0" borderId="0" xfId="1" applyNumberFormat="1" applyFont="1" applyFill="1" applyAlignment="1">
      <alignment horizontal="right" vertical="center"/>
    </xf>
    <xf numFmtId="0" fontId="3" fillId="0" borderId="0" xfId="1" applyNumberFormat="1" applyFont="1" applyFill="1" applyAlignment="1">
      <alignment horizontal="left" vertical="center"/>
    </xf>
    <xf numFmtId="14" fontId="3" fillId="0" borderId="0" xfId="1" applyNumberFormat="1" applyFont="1" applyFill="1" applyBorder="1" applyAlignment="1" applyProtection="1">
      <alignment horizontal="left" vertical="top"/>
    </xf>
    <xf numFmtId="0" fontId="3" fillId="0" borderId="3" xfId="1" applyNumberFormat="1" applyFont="1" applyFill="1" applyBorder="1" applyAlignment="1">
      <alignment horizontal="left" vertical="center"/>
    </xf>
    <xf numFmtId="165" fontId="3" fillId="0" borderId="3" xfId="1" applyNumberFormat="1" applyFont="1" applyFill="1" applyBorder="1" applyAlignment="1">
      <alignment horizontal="right"/>
    </xf>
    <xf numFmtId="165" fontId="3" fillId="0" borderId="1" xfId="1" applyNumberFormat="1" applyFont="1" applyFill="1" applyBorder="1" applyAlignment="1">
      <alignment horizontal="right" vertical="center"/>
    </xf>
    <xf numFmtId="14" fontId="3" fillId="0" borderId="0" xfId="1" applyNumberFormat="1" applyFont="1" applyFill="1" applyAlignment="1">
      <alignment horizontal="left" vertical="top"/>
    </xf>
    <xf numFmtId="0" fontId="3" fillId="0" borderId="4" xfId="1" applyNumberFormat="1" applyFont="1" applyFill="1" applyBorder="1" applyAlignment="1">
      <alignment horizontal="left" vertical="center"/>
    </xf>
    <xf numFmtId="165" fontId="3" fillId="0" borderId="4" xfId="1" applyNumberFormat="1" applyFont="1" applyFill="1" applyBorder="1" applyAlignment="1">
      <alignment horizontal="right"/>
    </xf>
    <xf numFmtId="165" fontId="3" fillId="0" borderId="0" xfId="1" applyNumberFormat="1" applyFont="1" applyFill="1" applyAlignment="1">
      <alignment horizontal="right"/>
    </xf>
    <xf numFmtId="14" fontId="3" fillId="0" borderId="0" xfId="1" applyNumberFormat="1" applyFont="1" applyFill="1" applyBorder="1" applyAlignment="1" applyProtection="1">
      <alignment horizontal="left" vertical="top" wrapText="1"/>
    </xf>
    <xf numFmtId="0" fontId="3" fillId="0" borderId="1" xfId="1" applyNumberFormat="1" applyFont="1" applyFill="1" applyBorder="1" applyAlignment="1">
      <alignment horizontal="left" vertical="center"/>
    </xf>
    <xf numFmtId="165" fontId="3" fillId="0" borderId="5" xfId="1" applyNumberFormat="1" applyFont="1" applyFill="1" applyBorder="1" applyAlignment="1">
      <alignment horizontal="right"/>
    </xf>
    <xf numFmtId="165" fontId="3" fillId="0" borderId="3" xfId="1" applyNumberFormat="1" applyFont="1" applyFill="1" applyBorder="1" applyAlignment="1">
      <alignment horizontal="right" vertical="center"/>
    </xf>
    <xf numFmtId="165" fontId="3" fillId="0" borderId="1" xfId="1" applyNumberFormat="1" applyFont="1" applyFill="1" applyBorder="1" applyAlignment="1">
      <alignment horizontal="left" vertical="center"/>
    </xf>
    <xf numFmtId="0" fontId="3" fillId="3" borderId="1" xfId="1" applyNumberFormat="1" applyFont="1" applyFill="1" applyBorder="1" applyAlignment="1">
      <alignment horizontal="left" vertical="top"/>
    </xf>
    <xf numFmtId="165" fontId="3" fillId="3" borderId="1" xfId="1" applyNumberFormat="1" applyFont="1" applyFill="1" applyBorder="1" applyAlignment="1">
      <alignment horizontal="right"/>
    </xf>
    <xf numFmtId="165" fontId="3" fillId="3" borderId="3" xfId="1" applyNumberFormat="1" applyFont="1" applyFill="1" applyBorder="1" applyAlignment="1">
      <alignment horizontal="right" vertical="center"/>
    </xf>
    <xf numFmtId="165" fontId="3" fillId="3" borderId="1" xfId="1" applyNumberFormat="1" applyFont="1" applyFill="1" applyBorder="1" applyAlignment="1">
      <alignment horizontal="right" vertical="center"/>
    </xf>
    <xf numFmtId="165" fontId="3" fillId="3" borderId="1" xfId="1" applyNumberFormat="1" applyFont="1" applyFill="1" applyBorder="1" applyAlignment="1">
      <alignment horizontal="left" vertical="center"/>
    </xf>
    <xf numFmtId="165" fontId="3" fillId="0" borderId="1" xfId="1" applyNumberFormat="1" applyFont="1" applyFill="1" applyBorder="1" applyAlignment="1">
      <alignment horizontal="right"/>
    </xf>
    <xf numFmtId="165" fontId="3" fillId="0" borderId="6" xfId="1" applyNumberFormat="1" applyFont="1" applyFill="1" applyBorder="1" applyAlignment="1">
      <alignment horizontal="right"/>
    </xf>
    <xf numFmtId="165" fontId="3" fillId="0" borderId="1" xfId="1" applyNumberFormat="1" applyFont="1" applyFill="1" applyBorder="1" applyAlignment="1">
      <alignment horizontal="right" vertical="top"/>
    </xf>
    <xf numFmtId="14" fontId="3" fillId="0" borderId="0" xfId="1" applyNumberFormat="1" applyFont="1" applyFill="1" applyAlignment="1" applyProtection="1">
      <alignment horizontal="left" vertical="top" wrapText="1"/>
      <protection locked="0"/>
    </xf>
    <xf numFmtId="165" fontId="3" fillId="4" borderId="0" xfId="1" applyNumberFormat="1" applyFont="1" applyFill="1" applyBorder="1" applyAlignment="1">
      <alignment horizontal="right" vertical="top" wrapText="1"/>
    </xf>
    <xf numFmtId="0" fontId="3" fillId="4" borderId="0" xfId="1" applyNumberFormat="1" applyFont="1" applyFill="1" applyBorder="1" applyAlignment="1">
      <alignment horizontal="right" vertical="center"/>
    </xf>
    <xf numFmtId="0" fontId="3" fillId="4" borderId="0" xfId="1" applyNumberFormat="1" applyFont="1" applyFill="1" applyBorder="1" applyAlignment="1">
      <alignment horizontal="left" vertical="top"/>
    </xf>
    <xf numFmtId="165" fontId="3" fillId="4" borderId="0" xfId="1" applyNumberFormat="1" applyFont="1" applyFill="1" applyBorder="1" applyAlignment="1">
      <alignment horizontal="right"/>
    </xf>
    <xf numFmtId="165" fontId="3" fillId="4" borderId="0" xfId="1" applyNumberFormat="1" applyFont="1" applyFill="1" applyBorder="1" applyAlignment="1">
      <alignment horizontal="right" vertical="center"/>
    </xf>
    <xf numFmtId="14" fontId="3" fillId="0" borderId="0" xfId="1" applyNumberFormat="1" applyFont="1" applyFill="1" applyAlignment="1">
      <alignment horizontal="left" vertical="top" wrapText="1"/>
    </xf>
    <xf numFmtId="165" fontId="3" fillId="4" borderId="0" xfId="1" applyNumberFormat="1" applyFont="1" applyFill="1" applyBorder="1" applyAlignment="1">
      <alignment horizontal="right" wrapText="1"/>
    </xf>
    <xf numFmtId="0" fontId="3" fillId="4" borderId="0" xfId="1" applyNumberFormat="1" applyFont="1" applyFill="1" applyBorder="1" applyAlignment="1">
      <alignment horizontal="right" vertical="top" wrapText="1"/>
    </xf>
    <xf numFmtId="165" fontId="3" fillId="4" borderId="0" xfId="1" applyNumberFormat="1" applyFont="1" applyFill="1" applyBorder="1" applyAlignment="1">
      <alignment horizontal="right" vertical="top"/>
    </xf>
    <xf numFmtId="165" fontId="6" fillId="0" borderId="0" xfId="1" applyNumberFormat="1" applyFont="1" applyFill="1" applyBorder="1" applyAlignment="1">
      <alignment horizontal="right"/>
    </xf>
    <xf numFmtId="165" fontId="6" fillId="0" borderId="0" xfId="1" applyNumberFormat="1" applyFont="1" applyFill="1" applyBorder="1" applyAlignment="1">
      <alignment horizontal="right" vertical="top"/>
    </xf>
    <xf numFmtId="165" fontId="6" fillId="0" borderId="0" xfId="1" applyNumberFormat="1" applyFont="1" applyFill="1" applyBorder="1" applyAlignment="1">
      <alignment horizontal="left" vertical="top"/>
    </xf>
    <xf numFmtId="165" fontId="6" fillId="0" borderId="0" xfId="1" applyNumberFormat="1" applyFont="1" applyFill="1" applyBorder="1" applyAlignment="1">
      <alignment horizontal="right" vertical="center"/>
    </xf>
    <xf numFmtId="165" fontId="3" fillId="0" borderId="0" xfId="1" applyNumberFormat="1" applyFont="1" applyFill="1" applyBorder="1" applyAlignment="1">
      <alignment horizontal="left" vertical="center"/>
    </xf>
    <xf numFmtId="14" fontId="3" fillId="0" borderId="0" xfId="1" applyNumberFormat="1" applyFont="1" applyFill="1" applyAlignment="1">
      <alignment horizontal="right" vertical="top"/>
    </xf>
    <xf numFmtId="165" fontId="6" fillId="0" borderId="0" xfId="1" applyNumberFormat="1" applyFont="1" applyFill="1" applyBorder="1" applyAlignment="1">
      <alignment horizontal="left" vertical="top" wrapText="1"/>
    </xf>
    <xf numFmtId="165" fontId="6" fillId="0" borderId="0" xfId="1" applyNumberFormat="1" applyFont="1" applyFill="1" applyBorder="1" applyAlignment="1">
      <alignment horizontal="right" vertical="top" wrapText="1"/>
    </xf>
    <xf numFmtId="165" fontId="6" fillId="0" borderId="0" xfId="1" applyNumberFormat="1" applyFont="1" applyFill="1" applyBorder="1" applyAlignment="1">
      <alignment horizontal="right" wrapText="1"/>
    </xf>
    <xf numFmtId="14" fontId="4" fillId="0" borderId="0" xfId="1" applyNumberFormat="1" applyFont="1" applyFill="1" applyAlignment="1">
      <alignment horizontal="right" vertical="top"/>
    </xf>
    <xf numFmtId="0" fontId="3" fillId="0" borderId="0" xfId="1" applyNumberFormat="1" applyFont="1" applyFill="1" applyBorder="1" applyAlignment="1" applyProtection="1">
      <alignment horizontal="left" vertical="top"/>
    </xf>
    <xf numFmtId="165" fontId="4" fillId="0" borderId="0" xfId="1" applyNumberFormat="1" applyFont="1" applyFill="1" applyBorder="1" applyAlignment="1" applyProtection="1">
      <alignment horizontal="right" vertical="top" wrapText="1"/>
    </xf>
    <xf numFmtId="0" fontId="4" fillId="0" borderId="0" xfId="1" applyNumberFormat="1" applyFont="1" applyFill="1" applyAlignment="1">
      <alignment horizontal="right" vertical="top"/>
    </xf>
    <xf numFmtId="165" fontId="4" fillId="0" borderId="0" xfId="1" applyNumberFormat="1" applyFont="1" applyFill="1" applyAlignment="1" applyProtection="1">
      <alignment horizontal="right" vertical="top" wrapText="1"/>
      <protection locked="0"/>
    </xf>
    <xf numFmtId="165" fontId="4" fillId="0" borderId="0" xfId="1" applyNumberFormat="1" applyFont="1" applyFill="1" applyAlignment="1" applyProtection="1">
      <alignment horizontal="left" vertical="top"/>
      <protection locked="0"/>
    </xf>
    <xf numFmtId="14" fontId="4" fillId="0" borderId="0" xfId="1" applyNumberFormat="1" applyFont="1" applyFill="1" applyAlignment="1" applyProtection="1">
      <alignment horizontal="right" vertical="top" wrapText="1"/>
      <protection locked="0"/>
    </xf>
    <xf numFmtId="0" fontId="4" fillId="0" borderId="0" xfId="1" applyNumberFormat="1" applyFont="1" applyFill="1" applyAlignment="1" applyProtection="1">
      <alignment horizontal="right" vertical="top" wrapText="1"/>
      <protection locked="0"/>
    </xf>
    <xf numFmtId="0" fontId="4" fillId="0" borderId="0" xfId="1" applyNumberFormat="1" applyFont="1" applyFill="1" applyBorder="1" applyAlignment="1" applyProtection="1">
      <alignment horizontal="right" vertical="top" wrapText="1"/>
    </xf>
    <xf numFmtId="165" fontId="4" fillId="0" borderId="0" xfId="1" applyNumberFormat="1" applyFont="1" applyFill="1" applyAlignment="1" applyProtection="1">
      <alignment horizontal="right" wrapText="1"/>
      <protection locked="0"/>
    </xf>
    <xf numFmtId="165" fontId="4" fillId="0" borderId="0" xfId="1" applyNumberFormat="1" applyFont="1" applyFill="1" applyAlignment="1" applyProtection="1">
      <alignment horizontal="right" vertical="top"/>
      <protection locked="0"/>
    </xf>
    <xf numFmtId="165" fontId="4" fillId="0" borderId="0" xfId="1" applyNumberFormat="1" applyFont="1" applyFill="1" applyAlignment="1">
      <alignment horizontal="right"/>
    </xf>
    <xf numFmtId="14" fontId="4" fillId="0" borderId="0" xfId="1" applyNumberFormat="1" applyFont="1" applyFill="1" applyAlignment="1" applyProtection="1">
      <alignment horizontal="right" vertical="top"/>
      <protection locked="0"/>
    </xf>
    <xf numFmtId="165" fontId="4" fillId="0" borderId="0" xfId="1" quotePrefix="1" applyNumberFormat="1" applyFont="1" applyFill="1" applyAlignment="1" applyProtection="1">
      <alignment horizontal="right" wrapText="1"/>
      <protection locked="0"/>
    </xf>
    <xf numFmtId="165" fontId="4" fillId="0" borderId="0" xfId="1" quotePrefix="1" applyNumberFormat="1" applyFont="1" applyFill="1" applyAlignment="1" applyProtection="1">
      <alignment horizontal="right"/>
      <protection locked="0"/>
    </xf>
    <xf numFmtId="0" fontId="4" fillId="0" borderId="0" xfId="1" applyNumberFormat="1" applyFont="1" applyFill="1" applyAlignment="1" applyProtection="1">
      <alignment horizontal="right" vertical="top"/>
      <protection locked="0"/>
    </xf>
    <xf numFmtId="165" fontId="4" fillId="0" borderId="0" xfId="1" applyNumberFormat="1" applyFont="1" applyFill="1" applyAlignment="1" applyProtection="1">
      <alignment horizontal="right"/>
      <protection locked="0"/>
    </xf>
    <xf numFmtId="14" fontId="4" fillId="0" borderId="0" xfId="1" quotePrefix="1" applyNumberFormat="1" applyFont="1" applyFill="1" applyAlignment="1" applyProtection="1">
      <alignment horizontal="right" vertical="top" wrapText="1"/>
      <protection locked="0"/>
    </xf>
    <xf numFmtId="165" fontId="4" fillId="0" borderId="0" xfId="1" applyNumberFormat="1" applyFont="1" applyFill="1" applyBorder="1" applyAlignment="1" applyProtection="1">
      <alignment horizontal="right" wrapText="1"/>
    </xf>
    <xf numFmtId="14" fontId="4" fillId="0" borderId="0" xfId="1" applyNumberFormat="1" applyFont="1" applyFill="1" applyBorder="1" applyAlignment="1" applyProtection="1">
      <alignment horizontal="right" vertical="top" wrapText="1"/>
    </xf>
    <xf numFmtId="165" fontId="4" fillId="0" borderId="0" xfId="1" quotePrefix="1" applyNumberFormat="1" applyFont="1" applyFill="1" applyBorder="1" applyAlignment="1" applyProtection="1">
      <alignment horizontal="right" wrapText="1"/>
      <protection locked="0"/>
    </xf>
    <xf numFmtId="0" fontId="4" fillId="0" borderId="0" xfId="1" applyNumberFormat="1" applyFont="1" applyFill="1" applyAlignment="1">
      <alignment horizontal="left" vertical="center"/>
    </xf>
    <xf numFmtId="0" fontId="4" fillId="0" borderId="0" xfId="1" applyNumberFormat="1" applyFont="1" applyFill="1" applyAlignment="1">
      <alignment horizontal="right" vertical="center"/>
    </xf>
    <xf numFmtId="14" fontId="4" fillId="0" borderId="0" xfId="1" applyNumberFormat="1" applyFont="1" applyFill="1" applyAlignment="1">
      <alignment horizontal="right" vertical="center"/>
    </xf>
    <xf numFmtId="165" fontId="4" fillId="0" borderId="0" xfId="1" applyNumberFormat="1" applyFont="1" applyFill="1" applyAlignment="1">
      <alignment horizontal="right" vertical="center"/>
    </xf>
    <xf numFmtId="165" fontId="4" fillId="0" borderId="0" xfId="1" applyNumberFormat="1" applyFont="1" applyFill="1" applyAlignment="1">
      <alignment horizontal="left" vertical="center"/>
    </xf>
    <xf numFmtId="165" fontId="3" fillId="5" borderId="1" xfId="1" applyNumberFormat="1" applyFont="1" applyFill="1" applyBorder="1" applyAlignment="1" applyProtection="1">
      <alignment horizontal="left" vertical="top" wrapText="1"/>
    </xf>
    <xf numFmtId="0" fontId="3" fillId="5" borderId="1" xfId="1" applyNumberFormat="1" applyFont="1" applyFill="1" applyBorder="1" applyAlignment="1">
      <alignment horizontal="left" vertical="top"/>
    </xf>
    <xf numFmtId="0" fontId="3" fillId="5" borderId="1" xfId="1" applyNumberFormat="1" applyFont="1" applyFill="1" applyBorder="1" applyAlignment="1" applyProtection="1">
      <alignment horizontal="left" vertical="top"/>
    </xf>
    <xf numFmtId="165" fontId="3" fillId="5" borderId="1" xfId="1" quotePrefix="1" applyNumberFormat="1" applyFont="1" applyFill="1" applyBorder="1" applyAlignment="1" applyProtection="1">
      <alignment horizontal="left" wrapText="1"/>
      <protection locked="0"/>
    </xf>
    <xf numFmtId="165" fontId="3" fillId="5" borderId="1" xfId="1" applyNumberFormat="1" applyFont="1" applyFill="1" applyBorder="1" applyAlignment="1" applyProtection="1">
      <alignment horizontal="left" vertical="top"/>
      <protection locked="0"/>
    </xf>
    <xf numFmtId="165" fontId="3" fillId="5" borderId="1" xfId="1" applyNumberFormat="1" applyFont="1" applyFill="1" applyBorder="1" applyAlignment="1" applyProtection="1">
      <alignment horizontal="left" vertical="top" wrapText="1"/>
      <protection locked="0"/>
    </xf>
    <xf numFmtId="14" fontId="3" fillId="5" borderId="1" xfId="1" applyNumberFormat="1" applyFont="1" applyFill="1" applyBorder="1" applyAlignment="1" applyProtection="1">
      <alignment horizontal="left" vertical="top" wrapText="1"/>
      <protection locked="0"/>
    </xf>
    <xf numFmtId="14" fontId="3" fillId="5" borderId="1" xfId="1" applyNumberFormat="1" applyFont="1" applyFill="1" applyBorder="1" applyAlignment="1">
      <alignment horizontal="left" vertical="top" wrapText="1"/>
    </xf>
    <xf numFmtId="0" fontId="3" fillId="5" borderId="1" xfId="1" applyNumberFormat="1" applyFont="1" applyFill="1" applyBorder="1" applyAlignment="1" applyProtection="1">
      <alignment horizontal="left" vertical="top" wrapText="1"/>
      <protection locked="0"/>
    </xf>
    <xf numFmtId="165" fontId="3" fillId="5" borderId="1" xfId="1" applyNumberFormat="1" applyFont="1" applyFill="1" applyBorder="1" applyAlignment="1" applyProtection="1">
      <alignment horizontal="left" vertical="top"/>
    </xf>
    <xf numFmtId="165" fontId="3" fillId="5" borderId="1" xfId="1" applyNumberFormat="1" applyFont="1" applyFill="1" applyBorder="1" applyAlignment="1">
      <alignment horizontal="left" vertical="top"/>
    </xf>
    <xf numFmtId="165" fontId="5" fillId="5" borderId="1" xfId="1" applyNumberFormat="1" applyFont="1" applyFill="1" applyBorder="1" applyAlignment="1">
      <alignment horizontal="left" vertical="top"/>
    </xf>
    <xf numFmtId="165" fontId="4" fillId="5" borderId="0" xfId="1" applyNumberFormat="1" applyFont="1" applyFill="1" applyAlignment="1">
      <alignment horizontal="right" vertical="top" wrapText="1"/>
    </xf>
    <xf numFmtId="165" fontId="8" fillId="0" borderId="0" xfId="1" applyNumberFormat="1" applyFont="1" applyFill="1" applyAlignment="1">
      <alignment horizontal="left" vertical="top" wrapText="1"/>
    </xf>
    <xf numFmtId="14" fontId="7" fillId="2" borderId="1" xfId="1" applyNumberFormat="1" applyFont="1" applyFill="1" applyBorder="1" applyAlignment="1">
      <alignment horizontal="left" vertical="top" wrapText="1"/>
    </xf>
    <xf numFmtId="0" fontId="7" fillId="2" borderId="1" xfId="1" applyNumberFormat="1" applyFont="1" applyFill="1" applyBorder="1" applyAlignment="1" applyProtection="1">
      <alignment horizontal="left" vertical="top" wrapText="1"/>
    </xf>
    <xf numFmtId="165" fontId="7" fillId="2" borderId="1" xfId="1" applyNumberFormat="1" applyFont="1" applyFill="1" applyBorder="1" applyAlignment="1" applyProtection="1">
      <alignment horizontal="left" vertical="top" wrapText="1"/>
    </xf>
    <xf numFmtId="165" fontId="7" fillId="2" borderId="1" xfId="1" applyNumberFormat="1" applyFont="1" applyFill="1" applyBorder="1" applyAlignment="1">
      <alignment horizontal="left" vertical="top" wrapText="1"/>
    </xf>
    <xf numFmtId="14" fontId="7" fillId="2" borderId="1" xfId="1" applyNumberFormat="1" applyFont="1" applyFill="1" applyBorder="1" applyAlignment="1" applyProtection="1">
      <alignment horizontal="left" vertical="top" wrapText="1"/>
    </xf>
    <xf numFmtId="165" fontId="7" fillId="2" borderId="1" xfId="1" applyNumberFormat="1" applyFont="1" applyFill="1" applyBorder="1" applyAlignment="1" applyProtection="1">
      <alignment horizontal="left" vertical="top" wrapText="1"/>
    </xf>
    <xf numFmtId="0" fontId="7" fillId="2" borderId="1" xfId="1" applyNumberFormat="1" applyFont="1" applyFill="1" applyBorder="1" applyAlignment="1" applyProtection="1">
      <alignment horizontal="left" vertical="top" wrapText="1"/>
    </xf>
  </cellXfs>
  <cellStyles count="4">
    <cellStyle name="Comma" xfId="1" builtinId="3"/>
    <cellStyle name="Normal" xfId="0" builtinId="0"/>
    <cellStyle name="Normal 3" xfId="3"/>
    <cellStyle name="Normal 6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8"/>
  <sheetViews>
    <sheetView tabSelected="1" topLeftCell="C1" zoomScale="40" zoomScaleNormal="40" zoomScaleSheetLayoutView="26" workbookViewId="0">
      <pane xSplit="1" topLeftCell="D1" activePane="topRight" state="frozen"/>
      <selection activeCell="C66" sqref="C66"/>
      <selection pane="topRight" activeCell="E6" sqref="E6"/>
    </sheetView>
  </sheetViews>
  <sheetFormatPr defaultColWidth="8.7109375" defaultRowHeight="27.75" x14ac:dyDescent="0.4"/>
  <cols>
    <col min="1" max="1" width="16.140625" style="6" customWidth="1"/>
    <col min="2" max="2" width="34" style="2" bestFit="1" customWidth="1"/>
    <col min="3" max="3" width="81.5703125" style="3" customWidth="1"/>
    <col min="4" max="4" width="58.140625" style="4" customWidth="1"/>
    <col min="5" max="5" width="28.42578125" style="5" customWidth="1"/>
    <col min="6" max="6" width="25" style="5" customWidth="1"/>
    <col min="7" max="7" width="14" style="6" customWidth="1"/>
    <col min="8" max="8" width="40.7109375" style="6" customWidth="1"/>
    <col min="9" max="9" width="36.5703125" style="7" customWidth="1"/>
    <col min="10" max="10" width="20.28515625" style="6" customWidth="1"/>
    <col min="11" max="11" width="22.5703125" style="8" customWidth="1"/>
    <col min="12" max="12" width="34.28515625" style="7" customWidth="1"/>
    <col min="13" max="13" width="29.28515625" style="7" customWidth="1"/>
    <col min="14" max="14" width="30.7109375" style="7" customWidth="1"/>
    <col min="15" max="15" width="43.85546875" style="2" customWidth="1"/>
    <col min="16" max="16" width="31.7109375" style="5" customWidth="1"/>
    <col min="17" max="17" width="74.42578125" style="6" customWidth="1"/>
    <col min="18" max="18" width="72.85546875" style="9" customWidth="1"/>
    <col min="19" max="16384" width="8.7109375" style="6"/>
  </cols>
  <sheetData>
    <row r="1" spans="1:18" ht="256.5" x14ac:dyDescent="0.25">
      <c r="C1" s="188" t="s">
        <v>457</v>
      </c>
      <c r="D1" s="189" t="s">
        <v>458</v>
      </c>
      <c r="E1" s="189" t="s">
        <v>459</v>
      </c>
      <c r="F1" s="189" t="s">
        <v>460</v>
      </c>
      <c r="G1" s="189" t="s">
        <v>461</v>
      </c>
      <c r="H1" s="189"/>
      <c r="I1" s="191" t="s">
        <v>462</v>
      </c>
      <c r="J1" s="189" t="s">
        <v>463</v>
      </c>
      <c r="K1" s="189" t="s">
        <v>464</v>
      </c>
      <c r="L1" s="191" t="s">
        <v>465</v>
      </c>
      <c r="M1" s="191" t="s">
        <v>466</v>
      </c>
      <c r="N1" s="187" t="s">
        <v>467</v>
      </c>
      <c r="O1" s="188" t="s">
        <v>468</v>
      </c>
      <c r="P1" s="189" t="s">
        <v>469</v>
      </c>
      <c r="Q1" s="189" t="s">
        <v>470</v>
      </c>
      <c r="R1" s="190" t="s">
        <v>471</v>
      </c>
    </row>
    <row r="2" spans="1:18" ht="42.75" x14ac:dyDescent="0.25">
      <c r="A2" s="1"/>
      <c r="C2" s="188"/>
      <c r="D2" s="189"/>
      <c r="E2" s="189"/>
      <c r="F2" s="189"/>
      <c r="G2" s="189"/>
      <c r="H2" s="189"/>
      <c r="I2" s="191"/>
      <c r="J2" s="189"/>
      <c r="K2" s="189"/>
      <c r="L2" s="191"/>
      <c r="M2" s="191"/>
      <c r="N2" s="187"/>
      <c r="O2" s="188"/>
      <c r="P2" s="189"/>
      <c r="Q2" s="189"/>
      <c r="R2" s="190"/>
    </row>
    <row r="3" spans="1:18" ht="50.25" customHeight="1" x14ac:dyDescent="0.5">
      <c r="C3" s="16" t="s">
        <v>360</v>
      </c>
      <c r="D3" s="17" t="s">
        <v>2</v>
      </c>
      <c r="E3" s="18" t="s">
        <v>3</v>
      </c>
      <c r="F3" s="18" t="s">
        <v>4</v>
      </c>
      <c r="G3" s="19" t="s">
        <v>5</v>
      </c>
      <c r="H3" s="19" t="str">
        <f>F3&amp;G3</f>
        <v>PKWTTP</v>
      </c>
      <c r="I3" s="20">
        <v>27953</v>
      </c>
      <c r="J3" s="19" t="s">
        <v>6</v>
      </c>
      <c r="K3" s="18" t="s">
        <v>7</v>
      </c>
      <c r="L3" s="20">
        <v>35805</v>
      </c>
      <c r="M3" s="20" t="str">
        <f>TEXT(L3,"dd/mm/yyyy")</f>
        <v>10/01/1998</v>
      </c>
      <c r="N3" s="21">
        <f>EDATE(I3,55*12)</f>
        <v>48041</v>
      </c>
      <c r="O3" s="22" t="s">
        <v>8</v>
      </c>
      <c r="P3" s="23" t="s">
        <v>9</v>
      </c>
      <c r="Q3" s="23" t="s">
        <v>10</v>
      </c>
      <c r="R3" s="24" t="str">
        <f t="shared" ref="R3:R34" ca="1" si="0">DATEDIF(L3, TODAY(), "Y") &amp; " Tahun " &amp; DATEDIF(L3, TODAY(), "YM") &amp; " Bulan " &amp; DATEDIF(L3, TODAY(), "MD") &amp; " Hari"</f>
        <v>28 Tahun 2 Bulan 8 Hari</v>
      </c>
    </row>
    <row r="4" spans="1:18" s="5" customFormat="1" ht="176.25" x14ac:dyDescent="0.5">
      <c r="A4" s="10"/>
      <c r="B4" s="11"/>
      <c r="C4" s="28" t="s">
        <v>361</v>
      </c>
      <c r="D4" s="29" t="s">
        <v>11</v>
      </c>
      <c r="E4" s="30" t="s">
        <v>3</v>
      </c>
      <c r="F4" s="30" t="s">
        <v>12</v>
      </c>
      <c r="G4" s="31" t="s">
        <v>5</v>
      </c>
      <c r="H4" s="31" t="str">
        <f>F4&amp;G4</f>
        <v>HARIANP</v>
      </c>
      <c r="I4" s="32">
        <v>31647</v>
      </c>
      <c r="J4" s="31" t="s">
        <v>13</v>
      </c>
      <c r="K4" s="30" t="s">
        <v>7</v>
      </c>
      <c r="L4" s="32">
        <v>46041</v>
      </c>
      <c r="M4" s="32">
        <v>46041</v>
      </c>
      <c r="N4" s="32" t="s">
        <v>14</v>
      </c>
      <c r="O4" s="33" t="s">
        <v>15</v>
      </c>
      <c r="P4" s="34" t="s">
        <v>9</v>
      </c>
      <c r="Q4" s="34" t="s">
        <v>10</v>
      </c>
      <c r="R4" s="35" t="str">
        <f t="shared" ca="1" si="0"/>
        <v>0 Tahun 1 Bulan 27 Hari</v>
      </c>
    </row>
    <row r="5" spans="1:18" s="186" customFormat="1" ht="64.5" customHeight="1" x14ac:dyDescent="0.5">
      <c r="A5" s="192" t="s">
        <v>0</v>
      </c>
      <c r="B5" s="193" t="s">
        <v>1</v>
      </c>
      <c r="C5" s="16" t="s">
        <v>359</v>
      </c>
      <c r="D5" s="17" t="s">
        <v>16</v>
      </c>
      <c r="E5" s="18" t="s">
        <v>3</v>
      </c>
      <c r="F5" s="18" t="s">
        <v>4</v>
      </c>
      <c r="G5" s="19" t="s">
        <v>5</v>
      </c>
      <c r="H5" s="19" t="str">
        <f t="shared" ref="H5:H35" si="1">F5&amp;G5</f>
        <v>PKWTTP</v>
      </c>
      <c r="I5" s="20">
        <v>26473</v>
      </c>
      <c r="J5" s="19" t="s">
        <v>17</v>
      </c>
      <c r="K5" s="18" t="s">
        <v>7</v>
      </c>
      <c r="L5" s="20">
        <v>35899</v>
      </c>
      <c r="M5" s="20" t="str">
        <f t="shared" ref="M5:M35" si="2">TEXT(L5,"dd/mm/yyyy")</f>
        <v>14/04/1998</v>
      </c>
      <c r="N5" s="21">
        <f>EDATE(I5,55*12)</f>
        <v>46561</v>
      </c>
      <c r="O5" s="22" t="s">
        <v>18</v>
      </c>
      <c r="P5" s="23" t="s">
        <v>9</v>
      </c>
      <c r="Q5" s="23" t="s">
        <v>10</v>
      </c>
      <c r="R5" s="24" t="str">
        <f t="shared" ca="1" si="0"/>
        <v>27 Tahun 11 Bulan 4 Hari</v>
      </c>
    </row>
    <row r="6" spans="1:18" s="186" customFormat="1" ht="229.5" customHeight="1" x14ac:dyDescent="0.5">
      <c r="A6" s="192"/>
      <c r="B6" s="193"/>
      <c r="C6" s="16" t="s">
        <v>370</v>
      </c>
      <c r="D6" s="17" t="s">
        <v>19</v>
      </c>
      <c r="E6" s="18" t="s">
        <v>3</v>
      </c>
      <c r="F6" s="18" t="s">
        <v>4</v>
      </c>
      <c r="G6" s="19" t="s">
        <v>5</v>
      </c>
      <c r="H6" s="19" t="str">
        <f t="shared" si="1"/>
        <v>PKWTTP</v>
      </c>
      <c r="I6" s="20">
        <v>29739</v>
      </c>
      <c r="J6" s="19" t="s">
        <v>13</v>
      </c>
      <c r="K6" s="18" t="s">
        <v>7</v>
      </c>
      <c r="L6" s="20">
        <v>37080</v>
      </c>
      <c r="M6" s="20" t="str">
        <f t="shared" si="2"/>
        <v>08/07/2001</v>
      </c>
      <c r="N6" s="21">
        <f>EDATE(I6,55*12)</f>
        <v>49828</v>
      </c>
      <c r="O6" s="22" t="s">
        <v>20</v>
      </c>
      <c r="P6" s="23" t="s">
        <v>9</v>
      </c>
      <c r="Q6" s="37" t="s">
        <v>21</v>
      </c>
      <c r="R6" s="24" t="str">
        <f t="shared" ca="1" si="0"/>
        <v>24 Tahun 8 Bulan 10 Hari</v>
      </c>
    </row>
    <row r="7" spans="1:18" s="25" customFormat="1" ht="40.5" customHeight="1" x14ac:dyDescent="0.5">
      <c r="A7" s="14">
        <v>1</v>
      </c>
      <c r="B7" s="15">
        <v>9801023</v>
      </c>
      <c r="C7" s="16" t="s">
        <v>362</v>
      </c>
      <c r="D7" s="17" t="s">
        <v>22</v>
      </c>
      <c r="E7" s="18" t="s">
        <v>3</v>
      </c>
      <c r="F7" s="18" t="s">
        <v>4</v>
      </c>
      <c r="G7" s="19" t="s">
        <v>5</v>
      </c>
      <c r="H7" s="19" t="str">
        <f t="shared" si="1"/>
        <v>PKWTTP</v>
      </c>
      <c r="I7" s="20">
        <v>28950</v>
      </c>
      <c r="J7" s="19" t="s">
        <v>17</v>
      </c>
      <c r="K7" s="18" t="s">
        <v>7</v>
      </c>
      <c r="L7" s="20">
        <v>35962</v>
      </c>
      <c r="M7" s="20" t="str">
        <f t="shared" si="2"/>
        <v>16/06/1998</v>
      </c>
      <c r="N7" s="21">
        <f>EDATE(I7,55*12)</f>
        <v>49039</v>
      </c>
      <c r="O7" s="22" t="s">
        <v>23</v>
      </c>
      <c r="P7" s="23" t="s">
        <v>9</v>
      </c>
      <c r="Q7" s="37" t="s">
        <v>21</v>
      </c>
      <c r="R7" s="24" t="str">
        <f t="shared" ca="1" si="0"/>
        <v>27 Tahun 9 Bulan 2 Hari</v>
      </c>
    </row>
    <row r="8" spans="1:18" s="36" customFormat="1" ht="40.5" customHeight="1" x14ac:dyDescent="0.5">
      <c r="A8" s="26">
        <v>2</v>
      </c>
      <c r="B8" s="27">
        <v>2103439</v>
      </c>
      <c r="C8" s="16" t="s">
        <v>363</v>
      </c>
      <c r="D8" s="17" t="s">
        <v>24</v>
      </c>
      <c r="E8" s="18" t="s">
        <v>3</v>
      </c>
      <c r="F8" s="18" t="s">
        <v>4</v>
      </c>
      <c r="G8" s="19" t="s">
        <v>5</v>
      </c>
      <c r="H8" s="19" t="str">
        <f t="shared" si="1"/>
        <v>PKWTTP</v>
      </c>
      <c r="I8" s="20">
        <v>26142</v>
      </c>
      <c r="J8" s="19" t="s">
        <v>13</v>
      </c>
      <c r="K8" s="18" t="s">
        <v>7</v>
      </c>
      <c r="L8" s="20">
        <v>36026</v>
      </c>
      <c r="M8" s="20" t="str">
        <f t="shared" si="2"/>
        <v>19/08/1998</v>
      </c>
      <c r="N8" s="21">
        <f>EDATE(I8,55*12)</f>
        <v>46231</v>
      </c>
      <c r="O8" s="22" t="s">
        <v>25</v>
      </c>
      <c r="P8" s="23" t="s">
        <v>9</v>
      </c>
      <c r="Q8" s="37" t="s">
        <v>21</v>
      </c>
      <c r="R8" s="24" t="str">
        <f t="shared" ca="1" si="0"/>
        <v>27 Tahun 6 Bulan 27 Hari</v>
      </c>
    </row>
    <row r="9" spans="1:18" s="25" customFormat="1" ht="40.5" customHeight="1" x14ac:dyDescent="0.5">
      <c r="A9" s="14">
        <v>3</v>
      </c>
      <c r="B9" s="15">
        <v>9810080</v>
      </c>
      <c r="C9" s="28" t="s">
        <v>399</v>
      </c>
      <c r="D9" s="29" t="s">
        <v>26</v>
      </c>
      <c r="E9" s="30" t="s">
        <v>3</v>
      </c>
      <c r="F9" s="30" t="s">
        <v>27</v>
      </c>
      <c r="G9" s="31" t="s">
        <v>5</v>
      </c>
      <c r="H9" s="31" t="str">
        <f>F9&amp;G9</f>
        <v>PKWTP</v>
      </c>
      <c r="I9" s="32">
        <v>34556</v>
      </c>
      <c r="J9" s="31" t="s">
        <v>28</v>
      </c>
      <c r="K9" s="30" t="s">
        <v>7</v>
      </c>
      <c r="L9" s="32">
        <v>45908</v>
      </c>
      <c r="M9" s="32" t="str">
        <f>TEXT(L9,"dd/mm/yyyy")</f>
        <v>08/09/2025</v>
      </c>
      <c r="N9" s="38">
        <v>46047</v>
      </c>
      <c r="O9" s="33" t="s">
        <v>29</v>
      </c>
      <c r="P9" s="34" t="s">
        <v>9</v>
      </c>
      <c r="Q9" s="39" t="s">
        <v>21</v>
      </c>
      <c r="R9" s="35" t="str">
        <f t="shared" ca="1" si="0"/>
        <v>0 Tahun 6 Bulan 10 Hari</v>
      </c>
    </row>
    <row r="10" spans="1:18" s="25" customFormat="1" ht="40.5" customHeight="1" x14ac:dyDescent="0.5">
      <c r="A10" s="14">
        <v>4</v>
      </c>
      <c r="B10" s="15">
        <v>108098</v>
      </c>
      <c r="C10" s="16" t="s">
        <v>369</v>
      </c>
      <c r="D10" s="17" t="s">
        <v>31</v>
      </c>
      <c r="E10" s="18" t="s">
        <v>3</v>
      </c>
      <c r="F10" s="18" t="s">
        <v>4</v>
      </c>
      <c r="G10" s="19" t="s">
        <v>32</v>
      </c>
      <c r="H10" s="19" t="str">
        <f t="shared" si="1"/>
        <v>PKWTTL</v>
      </c>
      <c r="I10" s="20">
        <v>29653</v>
      </c>
      <c r="J10" s="19" t="s">
        <v>33</v>
      </c>
      <c r="K10" s="18" t="s">
        <v>7</v>
      </c>
      <c r="L10" s="20">
        <v>36748</v>
      </c>
      <c r="M10" s="20" t="str">
        <f t="shared" si="2"/>
        <v>10/08/2000</v>
      </c>
      <c r="N10" s="21">
        <f t="shared" ref="N10:N15" si="3">EDATE(I10,55*12)</f>
        <v>49742</v>
      </c>
      <c r="O10" s="22" t="s">
        <v>34</v>
      </c>
      <c r="P10" s="23" t="s">
        <v>9</v>
      </c>
      <c r="Q10" s="23" t="s">
        <v>35</v>
      </c>
      <c r="R10" s="24" t="str">
        <f t="shared" ca="1" si="0"/>
        <v>25 Tahun 7 Bulan 8 Hari</v>
      </c>
    </row>
    <row r="11" spans="1:18" s="25" customFormat="1" ht="40.5" customHeight="1" x14ac:dyDescent="0.5">
      <c r="A11" s="14">
        <v>5</v>
      </c>
      <c r="B11" s="15">
        <v>9806043</v>
      </c>
      <c r="C11" s="16" t="s">
        <v>368</v>
      </c>
      <c r="D11" s="17" t="s">
        <v>37</v>
      </c>
      <c r="E11" s="18" t="s">
        <v>3</v>
      </c>
      <c r="F11" s="18" t="s">
        <v>4</v>
      </c>
      <c r="G11" s="19" t="s">
        <v>32</v>
      </c>
      <c r="H11" s="19" t="str">
        <f t="shared" si="1"/>
        <v>PKWTTL</v>
      </c>
      <c r="I11" s="20">
        <v>29558</v>
      </c>
      <c r="J11" s="19" t="s">
        <v>33</v>
      </c>
      <c r="K11" s="18" t="s">
        <v>7</v>
      </c>
      <c r="L11" s="20">
        <v>36778</v>
      </c>
      <c r="M11" s="20" t="str">
        <f t="shared" si="2"/>
        <v>09/09/2000</v>
      </c>
      <c r="N11" s="21">
        <f t="shared" si="3"/>
        <v>49646</v>
      </c>
      <c r="O11" s="22" t="s">
        <v>38</v>
      </c>
      <c r="P11" s="23" t="s">
        <v>9</v>
      </c>
      <c r="Q11" s="23" t="s">
        <v>35</v>
      </c>
      <c r="R11" s="24" t="str">
        <f t="shared" ca="1" si="0"/>
        <v>25 Tahun 6 Bulan 9 Hari</v>
      </c>
    </row>
    <row r="12" spans="1:18" s="25" customFormat="1" ht="40.5" customHeight="1" x14ac:dyDescent="0.5">
      <c r="A12" s="14">
        <v>6</v>
      </c>
      <c r="B12" s="15">
        <v>9808049</v>
      </c>
      <c r="C12" s="16" t="s">
        <v>367</v>
      </c>
      <c r="D12" s="41" t="s">
        <v>40</v>
      </c>
      <c r="E12" s="18" t="s">
        <v>3</v>
      </c>
      <c r="F12" s="18" t="s">
        <v>4</v>
      </c>
      <c r="G12" s="19" t="s">
        <v>32</v>
      </c>
      <c r="H12" s="19" t="str">
        <f t="shared" si="1"/>
        <v>PKWTTL</v>
      </c>
      <c r="I12" s="20">
        <v>28683</v>
      </c>
      <c r="J12" s="19" t="s">
        <v>13</v>
      </c>
      <c r="K12" s="18" t="s">
        <v>7</v>
      </c>
      <c r="L12" s="20">
        <v>36991</v>
      </c>
      <c r="M12" s="20" t="str">
        <f t="shared" si="2"/>
        <v>10/04/2001</v>
      </c>
      <c r="N12" s="21">
        <f t="shared" si="3"/>
        <v>48772</v>
      </c>
      <c r="O12" s="22" t="s">
        <v>41</v>
      </c>
      <c r="P12" s="23" t="s">
        <v>9</v>
      </c>
      <c r="Q12" s="23" t="s">
        <v>35</v>
      </c>
      <c r="R12" s="24" t="str">
        <f t="shared" ca="1" si="0"/>
        <v>24 Tahun 11 Bulan 8 Hari</v>
      </c>
    </row>
    <row r="13" spans="1:18" s="36" customFormat="1" ht="40.5" customHeight="1" x14ac:dyDescent="0.5">
      <c r="A13" s="26">
        <v>7</v>
      </c>
      <c r="B13" s="27">
        <v>2103447</v>
      </c>
      <c r="C13" s="16" t="s">
        <v>366</v>
      </c>
      <c r="D13" s="41" t="s">
        <v>42</v>
      </c>
      <c r="E13" s="18" t="s">
        <v>3</v>
      </c>
      <c r="F13" s="18" t="s">
        <v>4</v>
      </c>
      <c r="G13" s="19" t="s">
        <v>5</v>
      </c>
      <c r="H13" s="19" t="str">
        <f t="shared" si="1"/>
        <v>PKWTTP</v>
      </c>
      <c r="I13" s="20">
        <v>31861</v>
      </c>
      <c r="J13" s="19" t="s">
        <v>13</v>
      </c>
      <c r="K13" s="18" t="s">
        <v>7</v>
      </c>
      <c r="L13" s="20">
        <v>40910</v>
      </c>
      <c r="M13" s="20" t="str">
        <f t="shared" si="2"/>
        <v>02/01/2012</v>
      </c>
      <c r="N13" s="21">
        <f t="shared" si="3"/>
        <v>51950</v>
      </c>
      <c r="O13" s="22" t="s">
        <v>43</v>
      </c>
      <c r="P13" s="23" t="s">
        <v>9</v>
      </c>
      <c r="Q13" s="23" t="s">
        <v>35</v>
      </c>
      <c r="R13" s="24" t="str">
        <f t="shared" ca="1" si="0"/>
        <v>14 Tahun 2 Bulan 16 Hari</v>
      </c>
    </row>
    <row r="14" spans="1:18" s="25" customFormat="1" ht="40.5" customHeight="1" x14ac:dyDescent="0.5">
      <c r="A14" s="14">
        <v>8</v>
      </c>
      <c r="B14" s="40" t="s">
        <v>30</v>
      </c>
      <c r="C14" s="16" t="s">
        <v>385</v>
      </c>
      <c r="D14" s="17" t="s">
        <v>44</v>
      </c>
      <c r="E14" s="18" t="s">
        <v>3</v>
      </c>
      <c r="F14" s="18" t="s">
        <v>4</v>
      </c>
      <c r="G14" s="19" t="s">
        <v>32</v>
      </c>
      <c r="H14" s="19" t="str">
        <f t="shared" si="1"/>
        <v>PKWTTL</v>
      </c>
      <c r="I14" s="20">
        <v>27894</v>
      </c>
      <c r="J14" s="19" t="s">
        <v>13</v>
      </c>
      <c r="K14" s="18" t="s">
        <v>7</v>
      </c>
      <c r="L14" s="20">
        <v>36048</v>
      </c>
      <c r="M14" s="20" t="str">
        <f t="shared" si="2"/>
        <v>10/09/1998</v>
      </c>
      <c r="N14" s="21">
        <f t="shared" si="3"/>
        <v>47982</v>
      </c>
      <c r="O14" s="22" t="s">
        <v>45</v>
      </c>
      <c r="P14" s="23" t="s">
        <v>9</v>
      </c>
      <c r="Q14" s="23" t="s">
        <v>35</v>
      </c>
      <c r="R14" s="24" t="str">
        <f t="shared" ca="1" si="0"/>
        <v>27 Tahun 6 Bulan 8 Hari</v>
      </c>
    </row>
    <row r="15" spans="1:18" s="25" customFormat="1" ht="40.5" customHeight="1" x14ac:dyDescent="0.5">
      <c r="A15" s="14">
        <v>9</v>
      </c>
      <c r="B15" s="40" t="s">
        <v>36</v>
      </c>
      <c r="C15" s="16" t="s">
        <v>376</v>
      </c>
      <c r="D15" s="17" t="s">
        <v>46</v>
      </c>
      <c r="E15" s="18" t="s">
        <v>3</v>
      </c>
      <c r="F15" s="18" t="s">
        <v>4</v>
      </c>
      <c r="G15" s="19" t="s">
        <v>32</v>
      </c>
      <c r="H15" s="19" t="str">
        <f t="shared" si="1"/>
        <v>PKWTTL</v>
      </c>
      <c r="I15" s="20">
        <v>26803</v>
      </c>
      <c r="J15" s="19" t="s">
        <v>13</v>
      </c>
      <c r="K15" s="18" t="s">
        <v>7</v>
      </c>
      <c r="L15" s="20">
        <v>34799</v>
      </c>
      <c r="M15" s="20" t="str">
        <f t="shared" si="2"/>
        <v>10/04/1995</v>
      </c>
      <c r="N15" s="21">
        <f t="shared" si="3"/>
        <v>46892</v>
      </c>
      <c r="O15" s="22" t="s">
        <v>47</v>
      </c>
      <c r="P15" s="23" t="s">
        <v>9</v>
      </c>
      <c r="Q15" s="23" t="s">
        <v>35</v>
      </c>
      <c r="R15" s="24" t="str">
        <f t="shared" ca="1" si="0"/>
        <v>30 Tahun 11 Bulan 8 Hari</v>
      </c>
    </row>
    <row r="16" spans="1:18" s="25" customFormat="1" ht="40.5" customHeight="1" x14ac:dyDescent="0.5">
      <c r="A16" s="14">
        <v>10</v>
      </c>
      <c r="B16" s="40" t="s">
        <v>39</v>
      </c>
      <c r="C16" s="28" t="s">
        <v>48</v>
      </c>
      <c r="D16" s="42" t="s">
        <v>49</v>
      </c>
      <c r="E16" s="43" t="s">
        <v>3</v>
      </c>
      <c r="F16" s="43" t="s">
        <v>27</v>
      </c>
      <c r="G16" s="32" t="s">
        <v>32</v>
      </c>
      <c r="H16" s="32" t="str">
        <f t="shared" si="1"/>
        <v>PKWTL</v>
      </c>
      <c r="I16" s="32">
        <v>38360</v>
      </c>
      <c r="J16" s="32" t="s">
        <v>13</v>
      </c>
      <c r="K16" s="43" t="s">
        <v>50</v>
      </c>
      <c r="L16" s="32">
        <v>45698</v>
      </c>
      <c r="M16" s="32">
        <v>45698</v>
      </c>
      <c r="N16" s="38">
        <v>46106</v>
      </c>
      <c r="O16" s="32" t="s">
        <v>51</v>
      </c>
      <c r="P16" s="44" t="s">
        <v>9</v>
      </c>
      <c r="Q16" s="44" t="s">
        <v>35</v>
      </c>
      <c r="R16" s="45" t="str">
        <f t="shared" ca="1" si="0"/>
        <v>1 Tahun 1 Bulan 8 Hari</v>
      </c>
    </row>
    <row r="17" spans="1:18" s="25" customFormat="1" ht="40.5" customHeight="1" x14ac:dyDescent="0.5">
      <c r="A17" s="14">
        <v>11</v>
      </c>
      <c r="B17" s="15">
        <v>1201239</v>
      </c>
      <c r="C17" s="28" t="s">
        <v>379</v>
      </c>
      <c r="D17" s="29" t="s">
        <v>52</v>
      </c>
      <c r="E17" s="30" t="s">
        <v>3</v>
      </c>
      <c r="F17" s="30" t="s">
        <v>27</v>
      </c>
      <c r="G17" s="31" t="s">
        <v>32</v>
      </c>
      <c r="H17" s="31" t="str">
        <f>F17&amp;G17</f>
        <v>PKWTL</v>
      </c>
      <c r="I17" s="32">
        <v>35949</v>
      </c>
      <c r="J17" s="31" t="s">
        <v>13</v>
      </c>
      <c r="K17" s="30" t="s">
        <v>7</v>
      </c>
      <c r="L17" s="32">
        <v>45810</v>
      </c>
      <c r="M17" s="32" t="str">
        <f>TEXT(L17,"dd/mm/yyyy")</f>
        <v>02/06/2025</v>
      </c>
      <c r="N17" s="38">
        <v>46047</v>
      </c>
      <c r="O17" s="33" t="s">
        <v>53</v>
      </c>
      <c r="P17" s="34" t="s">
        <v>9</v>
      </c>
      <c r="Q17" s="34" t="s">
        <v>35</v>
      </c>
      <c r="R17" s="35" t="str">
        <f t="shared" ca="1" si="0"/>
        <v>0 Tahun 9 Bulan 16 Hari</v>
      </c>
    </row>
    <row r="18" spans="1:18" s="25" customFormat="1" ht="40.5" customHeight="1" x14ac:dyDescent="0.5">
      <c r="A18" s="14">
        <v>12</v>
      </c>
      <c r="B18" s="15">
        <v>9809051</v>
      </c>
      <c r="C18" s="28" t="s">
        <v>382</v>
      </c>
      <c r="D18" s="29" t="s">
        <v>54</v>
      </c>
      <c r="E18" s="30" t="s">
        <v>3</v>
      </c>
      <c r="F18" s="30" t="s">
        <v>27</v>
      </c>
      <c r="G18" s="31" t="s">
        <v>32</v>
      </c>
      <c r="H18" s="31" t="str">
        <f>F18&amp;G18</f>
        <v>PKWTL</v>
      </c>
      <c r="I18" s="32">
        <v>34159</v>
      </c>
      <c r="J18" s="31" t="s">
        <v>33</v>
      </c>
      <c r="K18" s="30" t="s">
        <v>7</v>
      </c>
      <c r="L18" s="32">
        <v>45810</v>
      </c>
      <c r="M18" s="32" t="str">
        <f>TEXT(L18,"dd/mm/yyyy")</f>
        <v>02/06/2025</v>
      </c>
      <c r="N18" s="38">
        <v>46047</v>
      </c>
      <c r="O18" s="33" t="s">
        <v>55</v>
      </c>
      <c r="P18" s="34" t="s">
        <v>9</v>
      </c>
      <c r="Q18" s="34" t="s">
        <v>35</v>
      </c>
      <c r="R18" s="35" t="str">
        <f t="shared" ca="1" si="0"/>
        <v>0 Tahun 9 Bulan 16 Hari</v>
      </c>
    </row>
    <row r="19" spans="1:18" s="25" customFormat="1" ht="40.5" customHeight="1" x14ac:dyDescent="0.5">
      <c r="A19" s="14">
        <v>13</v>
      </c>
      <c r="B19" s="15">
        <v>9504010</v>
      </c>
      <c r="C19" s="28" t="s">
        <v>417</v>
      </c>
      <c r="D19" s="29" t="s">
        <v>56</v>
      </c>
      <c r="E19" s="30" t="s">
        <v>3</v>
      </c>
      <c r="F19" s="30" t="s">
        <v>27</v>
      </c>
      <c r="G19" s="31" t="s">
        <v>32</v>
      </c>
      <c r="H19" s="31" t="str">
        <f t="shared" si="1"/>
        <v>PKWTL</v>
      </c>
      <c r="I19" s="32">
        <v>34099</v>
      </c>
      <c r="J19" s="31" t="s">
        <v>33</v>
      </c>
      <c r="K19" s="30" t="s">
        <v>7</v>
      </c>
      <c r="L19" s="32">
        <v>44047</v>
      </c>
      <c r="M19" s="32" t="str">
        <f t="shared" si="2"/>
        <v>04/08/2020</v>
      </c>
      <c r="N19" s="38">
        <v>46106</v>
      </c>
      <c r="O19" s="33" t="s">
        <v>57</v>
      </c>
      <c r="P19" s="34" t="s">
        <v>9</v>
      </c>
      <c r="Q19" s="39" t="s">
        <v>58</v>
      </c>
      <c r="R19" s="35" t="str">
        <f t="shared" ca="1" si="0"/>
        <v>5 Tahun 7 Bulan 14 Hari</v>
      </c>
    </row>
    <row r="20" spans="1:18" s="46" customFormat="1" ht="40.5" customHeight="1" x14ac:dyDescent="0.5">
      <c r="A20" s="26">
        <v>14</v>
      </c>
      <c r="B20" s="27">
        <v>2601573</v>
      </c>
      <c r="C20" s="28" t="s">
        <v>428</v>
      </c>
      <c r="D20" s="29" t="s">
        <v>59</v>
      </c>
      <c r="E20" s="30" t="s">
        <v>3</v>
      </c>
      <c r="F20" s="30" t="s">
        <v>27</v>
      </c>
      <c r="G20" s="31" t="s">
        <v>32</v>
      </c>
      <c r="H20" s="31" t="str">
        <f t="shared" si="1"/>
        <v>PKWTL</v>
      </c>
      <c r="I20" s="32">
        <v>31286</v>
      </c>
      <c r="J20" s="31" t="s">
        <v>13</v>
      </c>
      <c r="K20" s="30" t="s">
        <v>7</v>
      </c>
      <c r="L20" s="32">
        <v>44047</v>
      </c>
      <c r="M20" s="32" t="str">
        <f t="shared" si="2"/>
        <v>04/08/2020</v>
      </c>
      <c r="N20" s="38">
        <v>46137</v>
      </c>
      <c r="O20" s="33" t="s">
        <v>60</v>
      </c>
      <c r="P20" s="34" t="s">
        <v>9</v>
      </c>
      <c r="Q20" s="39" t="s">
        <v>58</v>
      </c>
      <c r="R20" s="35" t="str">
        <f t="shared" ca="1" si="0"/>
        <v>5 Tahun 7 Bulan 14 Hari</v>
      </c>
    </row>
    <row r="21" spans="1:18" s="36" customFormat="1" ht="40.5" customHeight="1" x14ac:dyDescent="0.5">
      <c r="A21" s="26">
        <v>15</v>
      </c>
      <c r="B21" s="27">
        <v>2601572</v>
      </c>
      <c r="C21" s="28" t="s">
        <v>403</v>
      </c>
      <c r="D21" s="47" t="s">
        <v>61</v>
      </c>
      <c r="E21" s="30" t="s">
        <v>3</v>
      </c>
      <c r="F21" s="30" t="s">
        <v>27</v>
      </c>
      <c r="G21" s="31" t="s">
        <v>5</v>
      </c>
      <c r="H21" s="31" t="str">
        <f t="shared" si="1"/>
        <v>PKWTP</v>
      </c>
      <c r="I21" s="32">
        <v>31179</v>
      </c>
      <c r="J21" s="31" t="s">
        <v>13</v>
      </c>
      <c r="K21" s="30" t="s">
        <v>7</v>
      </c>
      <c r="L21" s="32">
        <v>43954</v>
      </c>
      <c r="M21" s="32" t="str">
        <f t="shared" si="2"/>
        <v>03/05/2020</v>
      </c>
      <c r="N21" s="38">
        <v>46137</v>
      </c>
      <c r="O21" s="33" t="s">
        <v>62</v>
      </c>
      <c r="P21" s="34" t="s">
        <v>9</v>
      </c>
      <c r="Q21" s="39" t="s">
        <v>58</v>
      </c>
      <c r="R21" s="35" t="str">
        <f t="shared" ca="1" si="0"/>
        <v>5 Tahun 10 Bulan 15 Hari</v>
      </c>
    </row>
    <row r="22" spans="1:18" s="36" customFormat="1" ht="40.5" customHeight="1" x14ac:dyDescent="0.5">
      <c r="A22" s="26">
        <v>16</v>
      </c>
      <c r="B22" s="27">
        <v>2601571</v>
      </c>
      <c r="C22" s="28" t="s">
        <v>63</v>
      </c>
      <c r="D22" s="29" t="s">
        <v>64</v>
      </c>
      <c r="E22" s="30" t="s">
        <v>3</v>
      </c>
      <c r="F22" s="30" t="s">
        <v>27</v>
      </c>
      <c r="G22" s="31" t="s">
        <v>32</v>
      </c>
      <c r="H22" s="31" t="str">
        <f t="shared" si="1"/>
        <v>PKWTL</v>
      </c>
      <c r="I22" s="32">
        <v>36283</v>
      </c>
      <c r="J22" s="31" t="s">
        <v>13</v>
      </c>
      <c r="K22" s="30" t="s">
        <v>7</v>
      </c>
      <c r="L22" s="32">
        <v>44078</v>
      </c>
      <c r="M22" s="32" t="str">
        <f t="shared" si="2"/>
        <v>04/09/2020</v>
      </c>
      <c r="N22" s="38">
        <v>46137</v>
      </c>
      <c r="O22" s="33" t="s">
        <v>65</v>
      </c>
      <c r="P22" s="34" t="s">
        <v>9</v>
      </c>
      <c r="Q22" s="39" t="s">
        <v>58</v>
      </c>
      <c r="R22" s="35" t="str">
        <f t="shared" ca="1" si="0"/>
        <v>5 Tahun 6 Bulan 14 Hari</v>
      </c>
    </row>
    <row r="23" spans="1:18" s="36" customFormat="1" ht="40.5" customHeight="1" x14ac:dyDescent="0.5">
      <c r="A23" s="26">
        <v>17</v>
      </c>
      <c r="B23" s="27">
        <v>2008405</v>
      </c>
      <c r="C23" s="28" t="s">
        <v>393</v>
      </c>
      <c r="D23" s="29" t="s">
        <v>66</v>
      </c>
      <c r="E23" s="30" t="s">
        <v>3</v>
      </c>
      <c r="F23" s="30" t="s">
        <v>27</v>
      </c>
      <c r="G23" s="31" t="s">
        <v>32</v>
      </c>
      <c r="H23" s="31" t="str">
        <f t="shared" si="1"/>
        <v>PKWTL</v>
      </c>
      <c r="I23" s="32">
        <v>31594</v>
      </c>
      <c r="J23" s="31" t="s">
        <v>13</v>
      </c>
      <c r="K23" s="30" t="s">
        <v>7</v>
      </c>
      <c r="L23" s="32">
        <v>44836</v>
      </c>
      <c r="M23" s="32" t="str">
        <f t="shared" si="2"/>
        <v>02/10/2022</v>
      </c>
      <c r="N23" s="38">
        <v>46047</v>
      </c>
      <c r="O23" s="33" t="s">
        <v>67</v>
      </c>
      <c r="P23" s="34" t="s">
        <v>9</v>
      </c>
      <c r="Q23" s="39" t="s">
        <v>58</v>
      </c>
      <c r="R23" s="35" t="str">
        <f t="shared" ca="1" si="0"/>
        <v>3 Tahun 5 Bulan 16 Hari</v>
      </c>
    </row>
    <row r="24" spans="1:18" s="36" customFormat="1" ht="40.5" customHeight="1" x14ac:dyDescent="0.5">
      <c r="A24" s="26">
        <v>18</v>
      </c>
      <c r="B24" s="27">
        <v>2008407</v>
      </c>
      <c r="C24" s="28" t="s">
        <v>408</v>
      </c>
      <c r="D24" s="29" t="s">
        <v>68</v>
      </c>
      <c r="E24" s="30" t="s">
        <v>3</v>
      </c>
      <c r="F24" s="30" t="s">
        <v>27</v>
      </c>
      <c r="G24" s="31" t="s">
        <v>32</v>
      </c>
      <c r="H24" s="31" t="str">
        <f t="shared" si="1"/>
        <v>PKWTL</v>
      </c>
      <c r="I24" s="32">
        <v>34442</v>
      </c>
      <c r="J24" s="31" t="s">
        <v>33</v>
      </c>
      <c r="K24" s="30" t="s">
        <v>7</v>
      </c>
      <c r="L24" s="32">
        <v>44123</v>
      </c>
      <c r="M24" s="32" t="str">
        <f t="shared" si="2"/>
        <v>19/10/2020</v>
      </c>
      <c r="N24" s="38">
        <v>46137</v>
      </c>
      <c r="O24" s="33" t="s">
        <v>69</v>
      </c>
      <c r="P24" s="34" t="s">
        <v>9</v>
      </c>
      <c r="Q24" s="39" t="s">
        <v>58</v>
      </c>
      <c r="R24" s="35" t="str">
        <f t="shared" ca="1" si="0"/>
        <v>5 Tahun 4 Bulan 27 Hari</v>
      </c>
    </row>
    <row r="25" spans="1:18" s="36" customFormat="1" ht="40.5" customHeight="1" x14ac:dyDescent="0.5">
      <c r="A25" s="26">
        <v>19</v>
      </c>
      <c r="B25" s="27">
        <v>2103466</v>
      </c>
      <c r="C25" s="28" t="s">
        <v>438</v>
      </c>
      <c r="D25" s="47" t="s">
        <v>70</v>
      </c>
      <c r="E25" s="30" t="s">
        <v>3</v>
      </c>
      <c r="F25" s="30" t="s">
        <v>27</v>
      </c>
      <c r="G25" s="31" t="s">
        <v>32</v>
      </c>
      <c r="H25" s="31" t="str">
        <f t="shared" si="1"/>
        <v>PKWTL</v>
      </c>
      <c r="I25" s="32">
        <v>35298</v>
      </c>
      <c r="J25" s="31" t="s">
        <v>33</v>
      </c>
      <c r="K25" s="30" t="s">
        <v>50</v>
      </c>
      <c r="L25" s="32">
        <v>44260</v>
      </c>
      <c r="M25" s="32" t="str">
        <f t="shared" si="2"/>
        <v>05/03/2021</v>
      </c>
      <c r="N25" s="38">
        <v>46137</v>
      </c>
      <c r="O25" s="33" t="s">
        <v>71</v>
      </c>
      <c r="P25" s="34" t="s">
        <v>9</v>
      </c>
      <c r="Q25" s="39" t="s">
        <v>58</v>
      </c>
      <c r="R25" s="35" t="str">
        <f t="shared" ca="1" si="0"/>
        <v>5 Tahun 0 Bulan 13 Hari</v>
      </c>
    </row>
    <row r="26" spans="1:18" s="36" customFormat="1" ht="40.5" customHeight="1" x14ac:dyDescent="0.5">
      <c r="A26" s="26">
        <v>20</v>
      </c>
      <c r="B26" s="27">
        <v>2103467</v>
      </c>
      <c r="C26" s="28" t="s">
        <v>439</v>
      </c>
      <c r="D26" s="47" t="s">
        <v>72</v>
      </c>
      <c r="E26" s="30" t="s">
        <v>3</v>
      </c>
      <c r="F26" s="30" t="s">
        <v>27</v>
      </c>
      <c r="G26" s="31" t="s">
        <v>32</v>
      </c>
      <c r="H26" s="31" t="str">
        <f t="shared" si="1"/>
        <v>PKWTL</v>
      </c>
      <c r="I26" s="32">
        <v>37883</v>
      </c>
      <c r="J26" s="31" t="s">
        <v>33</v>
      </c>
      <c r="K26" s="30" t="s">
        <v>50</v>
      </c>
      <c r="L26" s="32">
        <v>45212</v>
      </c>
      <c r="M26" s="32" t="str">
        <f>TEXT(L26,"dd/mm/yyyy")</f>
        <v>13/10/2023</v>
      </c>
      <c r="N26" s="38">
        <v>46137</v>
      </c>
      <c r="O26" s="33" t="s">
        <v>73</v>
      </c>
      <c r="P26" s="34" t="s">
        <v>9</v>
      </c>
      <c r="Q26" s="39" t="s">
        <v>58</v>
      </c>
      <c r="R26" s="35" t="str">
        <f t="shared" ca="1" si="0"/>
        <v>2 Tahun 5 Bulan 5 Hari</v>
      </c>
    </row>
    <row r="27" spans="1:18" s="36" customFormat="1" ht="40.5" customHeight="1" x14ac:dyDescent="0.5">
      <c r="A27" s="26">
        <v>21</v>
      </c>
      <c r="B27" s="27">
        <v>2104473</v>
      </c>
      <c r="C27" s="28" t="s">
        <v>429</v>
      </c>
      <c r="D27" s="47" t="s">
        <v>74</v>
      </c>
      <c r="E27" s="30" t="s">
        <v>3</v>
      </c>
      <c r="F27" s="30" t="s">
        <v>27</v>
      </c>
      <c r="G27" s="31" t="s">
        <v>5</v>
      </c>
      <c r="H27" s="31" t="str">
        <f t="shared" si="1"/>
        <v>PKWTP</v>
      </c>
      <c r="I27" s="32">
        <v>31208</v>
      </c>
      <c r="J27" s="31" t="s">
        <v>33</v>
      </c>
      <c r="K27" s="30" t="s">
        <v>7</v>
      </c>
      <c r="L27" s="32">
        <v>45643</v>
      </c>
      <c r="M27" s="32">
        <v>45674</v>
      </c>
      <c r="N27" s="38">
        <v>46137</v>
      </c>
      <c r="O27" s="33" t="s">
        <v>75</v>
      </c>
      <c r="P27" s="34" t="s">
        <v>9</v>
      </c>
      <c r="Q27" s="39" t="s">
        <v>58</v>
      </c>
      <c r="R27" s="35" t="str">
        <f t="shared" ca="1" si="0"/>
        <v>1 Tahun 3 Bulan 1 Hari</v>
      </c>
    </row>
    <row r="28" spans="1:18" s="36" customFormat="1" ht="40.5" customHeight="1" x14ac:dyDescent="0.5">
      <c r="A28" s="26">
        <v>22</v>
      </c>
      <c r="B28" s="27">
        <v>2104475</v>
      </c>
      <c r="C28" s="28" t="s">
        <v>398</v>
      </c>
      <c r="D28" s="47" t="s">
        <v>76</v>
      </c>
      <c r="E28" s="30" t="s">
        <v>3</v>
      </c>
      <c r="F28" s="30" t="s">
        <v>27</v>
      </c>
      <c r="G28" s="31" t="s">
        <v>5</v>
      </c>
      <c r="H28" s="31" t="str">
        <f t="shared" si="1"/>
        <v>PKWTP</v>
      </c>
      <c r="I28" s="32">
        <v>33865</v>
      </c>
      <c r="J28" s="31" t="s">
        <v>33</v>
      </c>
      <c r="K28" s="30" t="s">
        <v>7</v>
      </c>
      <c r="L28" s="32">
        <v>45643</v>
      </c>
      <c r="M28" s="32">
        <v>45674</v>
      </c>
      <c r="N28" s="38">
        <v>46137</v>
      </c>
      <c r="O28" s="33" t="s">
        <v>77</v>
      </c>
      <c r="P28" s="34" t="s">
        <v>9</v>
      </c>
      <c r="Q28" s="39" t="s">
        <v>58</v>
      </c>
      <c r="R28" s="35" t="str">
        <f t="shared" ca="1" si="0"/>
        <v>1 Tahun 3 Bulan 1 Hari</v>
      </c>
    </row>
    <row r="29" spans="1:18" s="36" customFormat="1" ht="40.5" customHeight="1" x14ac:dyDescent="0.5">
      <c r="A29" s="26">
        <v>23</v>
      </c>
      <c r="B29" s="27">
        <v>2212520</v>
      </c>
      <c r="C29" s="175" t="s">
        <v>440</v>
      </c>
      <c r="D29" s="176" t="s">
        <v>79</v>
      </c>
      <c r="E29" s="177" t="s">
        <v>3</v>
      </c>
      <c r="F29" s="177" t="s">
        <v>12</v>
      </c>
      <c r="G29" s="178" t="s">
        <v>5</v>
      </c>
      <c r="H29" s="178" t="str">
        <f t="shared" si="1"/>
        <v>HARIANP</v>
      </c>
      <c r="I29" s="179">
        <v>38526</v>
      </c>
      <c r="J29" s="178" t="s">
        <v>33</v>
      </c>
      <c r="K29" s="177" t="s">
        <v>50</v>
      </c>
      <c r="L29" s="179">
        <v>45698</v>
      </c>
      <c r="M29" s="179">
        <v>45698</v>
      </c>
      <c r="N29" s="180">
        <v>46137</v>
      </c>
      <c r="O29" s="181" t="s">
        <v>80</v>
      </c>
      <c r="P29" s="182" t="s">
        <v>9</v>
      </c>
      <c r="Q29" s="183" t="s">
        <v>58</v>
      </c>
      <c r="R29" s="184" t="str">
        <f t="shared" ca="1" si="0"/>
        <v>1 Tahun 1 Bulan 8 Hari</v>
      </c>
    </row>
    <row r="30" spans="1:18" s="36" customFormat="1" ht="40.5" customHeight="1" x14ac:dyDescent="0.5">
      <c r="A30" s="26">
        <v>24</v>
      </c>
      <c r="B30" s="27">
        <v>2406526</v>
      </c>
      <c r="C30" s="28" t="s">
        <v>441</v>
      </c>
      <c r="D30" s="47" t="s">
        <v>81</v>
      </c>
      <c r="E30" s="30" t="s">
        <v>3</v>
      </c>
      <c r="F30" s="30" t="s">
        <v>27</v>
      </c>
      <c r="G30" s="31" t="s">
        <v>5</v>
      </c>
      <c r="H30" s="31" t="str">
        <f>F30&amp;G30</f>
        <v>PKWTP</v>
      </c>
      <c r="I30" s="32">
        <v>38569</v>
      </c>
      <c r="J30" s="31" t="s">
        <v>13</v>
      </c>
      <c r="K30" s="30" t="s">
        <v>50</v>
      </c>
      <c r="L30" s="32">
        <v>45793</v>
      </c>
      <c r="M30" s="32">
        <v>45793</v>
      </c>
      <c r="N30" s="38">
        <v>46137</v>
      </c>
      <c r="O30" s="33" t="s">
        <v>82</v>
      </c>
      <c r="P30" s="34" t="s">
        <v>9</v>
      </c>
      <c r="Q30" s="39" t="s">
        <v>58</v>
      </c>
      <c r="R30" s="35" t="str">
        <f t="shared" ca="1" si="0"/>
        <v>0 Tahun 10 Bulan 2 Hari</v>
      </c>
    </row>
    <row r="31" spans="1:18" s="36" customFormat="1" ht="40.5" customHeight="1" x14ac:dyDescent="0.5">
      <c r="A31" s="26">
        <v>25</v>
      </c>
      <c r="B31" s="48">
        <v>2601558</v>
      </c>
      <c r="C31" s="28" t="s">
        <v>415</v>
      </c>
      <c r="D31" s="47" t="s">
        <v>83</v>
      </c>
      <c r="E31" s="30" t="s">
        <v>3</v>
      </c>
      <c r="F31" s="30" t="s">
        <v>27</v>
      </c>
      <c r="G31" s="31" t="s">
        <v>5</v>
      </c>
      <c r="H31" s="31" t="str">
        <f t="shared" si="1"/>
        <v>PKWTP</v>
      </c>
      <c r="I31" s="32">
        <v>36533</v>
      </c>
      <c r="J31" s="31" t="s">
        <v>33</v>
      </c>
      <c r="K31" s="30" t="s">
        <v>7</v>
      </c>
      <c r="L31" s="32">
        <v>45644</v>
      </c>
      <c r="M31" s="32">
        <v>45644</v>
      </c>
      <c r="N31" s="38">
        <v>46137</v>
      </c>
      <c r="O31" s="33" t="s">
        <v>84</v>
      </c>
      <c r="P31" s="34" t="s">
        <v>9</v>
      </c>
      <c r="Q31" s="39" t="s">
        <v>58</v>
      </c>
      <c r="R31" s="35" t="str">
        <f t="shared" ca="1" si="0"/>
        <v>1 Tahun 3 Bulan 0 Hari</v>
      </c>
    </row>
    <row r="32" spans="1:18" s="36" customFormat="1" ht="40.5" customHeight="1" x14ac:dyDescent="0.5">
      <c r="A32" s="26">
        <v>26</v>
      </c>
      <c r="B32" s="48">
        <v>2601559</v>
      </c>
      <c r="C32" s="28" t="s">
        <v>434</v>
      </c>
      <c r="D32" s="47" t="s">
        <v>86</v>
      </c>
      <c r="E32" s="30" t="s">
        <v>3</v>
      </c>
      <c r="F32" s="30" t="s">
        <v>12</v>
      </c>
      <c r="G32" s="31" t="s">
        <v>5</v>
      </c>
      <c r="H32" s="31" t="str">
        <f t="shared" si="1"/>
        <v>HARIANP</v>
      </c>
      <c r="I32" s="32" t="s">
        <v>87</v>
      </c>
      <c r="J32" s="31" t="s">
        <v>13</v>
      </c>
      <c r="K32" s="30" t="s">
        <v>50</v>
      </c>
      <c r="L32" s="32">
        <v>45819</v>
      </c>
      <c r="M32" s="32">
        <v>45936</v>
      </c>
      <c r="N32" s="38">
        <v>46137</v>
      </c>
      <c r="O32" s="33" t="s">
        <v>88</v>
      </c>
      <c r="P32" s="34" t="s">
        <v>9</v>
      </c>
      <c r="Q32" s="39" t="s">
        <v>58</v>
      </c>
      <c r="R32" s="35" t="str">
        <f t="shared" ca="1" si="0"/>
        <v>0 Tahun 9 Bulan 7 Hari</v>
      </c>
    </row>
    <row r="33" spans="1:18" s="185" customFormat="1" ht="40.5" customHeight="1" x14ac:dyDescent="0.5">
      <c r="A33" s="173">
        <v>27</v>
      </c>
      <c r="B33" s="174" t="s">
        <v>78</v>
      </c>
      <c r="C33" s="28" t="s">
        <v>435</v>
      </c>
      <c r="D33" s="47" t="s">
        <v>89</v>
      </c>
      <c r="E33" s="30" t="s">
        <v>3</v>
      </c>
      <c r="F33" s="30" t="s">
        <v>27</v>
      </c>
      <c r="G33" s="31" t="s">
        <v>5</v>
      </c>
      <c r="H33" s="31" t="str">
        <f t="shared" si="1"/>
        <v>PKWTP</v>
      </c>
      <c r="I33" s="32" t="s">
        <v>90</v>
      </c>
      <c r="J33" s="31" t="s">
        <v>13</v>
      </c>
      <c r="K33" s="30" t="s">
        <v>50</v>
      </c>
      <c r="L33" s="32">
        <v>45819</v>
      </c>
      <c r="M33" s="32">
        <v>45936</v>
      </c>
      <c r="N33" s="38">
        <v>46137</v>
      </c>
      <c r="O33" s="33" t="s">
        <v>91</v>
      </c>
      <c r="P33" s="34" t="s">
        <v>9</v>
      </c>
      <c r="Q33" s="39" t="s">
        <v>58</v>
      </c>
      <c r="R33" s="35" t="str">
        <f t="shared" ca="1" si="0"/>
        <v>0 Tahun 9 Bulan 7 Hari</v>
      </c>
    </row>
    <row r="34" spans="1:18" s="36" customFormat="1" ht="40.5" customHeight="1" x14ac:dyDescent="0.5">
      <c r="A34" s="26">
        <v>28</v>
      </c>
      <c r="B34" s="48">
        <v>2601562</v>
      </c>
      <c r="C34" s="28" t="s">
        <v>93</v>
      </c>
      <c r="D34" s="47" t="s">
        <v>94</v>
      </c>
      <c r="E34" s="30" t="s">
        <v>3</v>
      </c>
      <c r="F34" s="30" t="s">
        <v>12</v>
      </c>
      <c r="G34" s="31" t="s">
        <v>5</v>
      </c>
      <c r="H34" s="31" t="str">
        <f t="shared" si="1"/>
        <v>HARIANP</v>
      </c>
      <c r="I34" s="32">
        <v>38602</v>
      </c>
      <c r="J34" s="31" t="s">
        <v>13</v>
      </c>
      <c r="K34" s="30" t="s">
        <v>50</v>
      </c>
      <c r="L34" s="32">
        <v>45880</v>
      </c>
      <c r="M34" s="32">
        <v>45936</v>
      </c>
      <c r="N34" s="38">
        <v>46137</v>
      </c>
      <c r="O34" s="33" t="s">
        <v>95</v>
      </c>
      <c r="P34" s="34" t="s">
        <v>9</v>
      </c>
      <c r="Q34" s="39" t="s">
        <v>58</v>
      </c>
      <c r="R34" s="35" t="str">
        <f t="shared" ca="1" si="0"/>
        <v>0 Tahun 7 Bulan 7 Hari</v>
      </c>
    </row>
    <row r="35" spans="1:18" s="36" customFormat="1" ht="40.5" customHeight="1" x14ac:dyDescent="0.5">
      <c r="A35" s="26">
        <v>29</v>
      </c>
      <c r="B35" s="48">
        <v>2601557</v>
      </c>
      <c r="C35" s="28" t="s">
        <v>397</v>
      </c>
      <c r="D35" s="29" t="s">
        <v>96</v>
      </c>
      <c r="E35" s="30" t="s">
        <v>97</v>
      </c>
      <c r="F35" s="30" t="s">
        <v>27</v>
      </c>
      <c r="G35" s="31" t="s">
        <v>32</v>
      </c>
      <c r="H35" s="31" t="str">
        <f t="shared" si="1"/>
        <v>PKWTL</v>
      </c>
      <c r="I35" s="32">
        <v>37113</v>
      </c>
      <c r="J35" s="31" t="s">
        <v>33</v>
      </c>
      <c r="K35" s="30" t="s">
        <v>50</v>
      </c>
      <c r="L35" s="32">
        <v>43997</v>
      </c>
      <c r="M35" s="32" t="str">
        <f t="shared" si="2"/>
        <v>15/06/2020</v>
      </c>
      <c r="N35" s="38">
        <v>46167</v>
      </c>
      <c r="O35" s="33" t="s">
        <v>98</v>
      </c>
      <c r="P35" s="34" t="s">
        <v>9</v>
      </c>
      <c r="Q35" s="39" t="s">
        <v>99</v>
      </c>
      <c r="R35" s="35" t="str">
        <f t="shared" ref="R35:R66" ca="1" si="4">DATEDIF(L35, TODAY(), "Y") &amp; " Tahun " &amp; DATEDIF(L35, TODAY(), "YM") &amp; " Bulan " &amp; DATEDIF(L35, TODAY(), "MD") &amp; " Hari"</f>
        <v>5 Tahun 9 Bulan 3 Hari</v>
      </c>
    </row>
    <row r="36" spans="1:18" s="36" customFormat="1" ht="40.5" customHeight="1" x14ac:dyDescent="0.5">
      <c r="A36" s="26">
        <v>30</v>
      </c>
      <c r="B36" s="48" t="s">
        <v>85</v>
      </c>
      <c r="C36" s="28" t="s">
        <v>451</v>
      </c>
      <c r="D36" s="29" t="s">
        <v>100</v>
      </c>
      <c r="E36" s="30" t="s">
        <v>3</v>
      </c>
      <c r="F36" s="30" t="s">
        <v>27</v>
      </c>
      <c r="G36" s="31" t="s">
        <v>5</v>
      </c>
      <c r="H36" s="31" t="str">
        <f>F36&amp;G36</f>
        <v>PKWTP</v>
      </c>
      <c r="I36" s="32">
        <v>36293</v>
      </c>
      <c r="J36" s="31" t="s">
        <v>13</v>
      </c>
      <c r="K36" s="30" t="s">
        <v>50</v>
      </c>
      <c r="L36" s="32">
        <v>44592</v>
      </c>
      <c r="M36" s="32" t="str">
        <f>TEXT(L36,"dd/mm/yyyy")</f>
        <v>31/01/2022</v>
      </c>
      <c r="N36" s="38">
        <v>46167</v>
      </c>
      <c r="O36" s="33" t="s">
        <v>101</v>
      </c>
      <c r="P36" s="34" t="s">
        <v>9</v>
      </c>
      <c r="Q36" s="39" t="s">
        <v>99</v>
      </c>
      <c r="R36" s="35" t="str">
        <f t="shared" ca="1" si="4"/>
        <v>4 Tahun 1 Bulan 15 Hari</v>
      </c>
    </row>
    <row r="37" spans="1:18" s="36" customFormat="1" ht="40.5" customHeight="1" x14ac:dyDescent="0.5">
      <c r="A37" s="26">
        <v>31</v>
      </c>
      <c r="B37" s="48">
        <v>2601563</v>
      </c>
      <c r="C37" s="28" t="s">
        <v>452</v>
      </c>
      <c r="D37" s="47" t="s">
        <v>102</v>
      </c>
      <c r="E37" s="30" t="s">
        <v>103</v>
      </c>
      <c r="F37" s="30" t="s">
        <v>27</v>
      </c>
      <c r="G37" s="31" t="s">
        <v>32</v>
      </c>
      <c r="H37" s="31" t="str">
        <f t="shared" ref="H37:H100" si="5">F37&amp;G37</f>
        <v>PKWTL</v>
      </c>
      <c r="I37" s="32">
        <v>36753</v>
      </c>
      <c r="J37" s="31" t="s">
        <v>33</v>
      </c>
      <c r="K37" s="30" t="s">
        <v>50</v>
      </c>
      <c r="L37" s="32">
        <v>44056</v>
      </c>
      <c r="M37" s="32" t="str">
        <f>TEXT(L37,"dd/mm/yyyy")</f>
        <v>13/08/2020</v>
      </c>
      <c r="N37" s="38">
        <v>46098</v>
      </c>
      <c r="O37" s="33" t="s">
        <v>104</v>
      </c>
      <c r="P37" s="34" t="s">
        <v>9</v>
      </c>
      <c r="Q37" s="39" t="s">
        <v>99</v>
      </c>
      <c r="R37" s="35" t="str">
        <f t="shared" ca="1" si="4"/>
        <v>5 Tahun 7 Bulan 5 Hari</v>
      </c>
    </row>
    <row r="38" spans="1:18" s="36" customFormat="1" ht="40.5" customHeight="1" x14ac:dyDescent="0.5">
      <c r="A38" s="26">
        <v>32</v>
      </c>
      <c r="B38" s="48" t="s">
        <v>92</v>
      </c>
      <c r="C38" s="28" t="s">
        <v>406</v>
      </c>
      <c r="D38" s="47" t="s">
        <v>105</v>
      </c>
      <c r="E38" s="30" t="s">
        <v>3</v>
      </c>
      <c r="F38" s="30" t="s">
        <v>27</v>
      </c>
      <c r="G38" s="31" t="s">
        <v>5</v>
      </c>
      <c r="H38" s="31" t="str">
        <f t="shared" si="5"/>
        <v>PKWTP</v>
      </c>
      <c r="I38" s="32">
        <v>35753</v>
      </c>
      <c r="J38" s="31" t="s">
        <v>33</v>
      </c>
      <c r="K38" s="30" t="s">
        <v>7</v>
      </c>
      <c r="L38" s="32">
        <v>45670</v>
      </c>
      <c r="M38" s="32">
        <v>45670</v>
      </c>
      <c r="N38" s="38">
        <v>46047</v>
      </c>
      <c r="O38" s="33" t="s">
        <v>106</v>
      </c>
      <c r="P38" s="34" t="s">
        <v>9</v>
      </c>
      <c r="Q38" s="39" t="s">
        <v>99</v>
      </c>
      <c r="R38" s="35" t="str">
        <f t="shared" ca="1" si="4"/>
        <v>1 Tahun 2 Bulan 5 Hari</v>
      </c>
    </row>
    <row r="39" spans="1:18" s="36" customFormat="1" ht="40.5" customHeight="1" x14ac:dyDescent="0.5">
      <c r="A39" s="26">
        <v>33</v>
      </c>
      <c r="B39" s="27">
        <v>2008402</v>
      </c>
      <c r="C39" s="28" t="s">
        <v>396</v>
      </c>
      <c r="D39" s="47" t="s">
        <v>107</v>
      </c>
      <c r="E39" s="30" t="s">
        <v>3</v>
      </c>
      <c r="F39" s="30" t="s">
        <v>27</v>
      </c>
      <c r="G39" s="31" t="s">
        <v>5</v>
      </c>
      <c r="H39" s="31" t="str">
        <f t="shared" si="5"/>
        <v>PKWTP</v>
      </c>
      <c r="I39" s="38" t="s">
        <v>108</v>
      </c>
      <c r="J39" s="31" t="s">
        <v>33</v>
      </c>
      <c r="K39" s="30" t="s">
        <v>7</v>
      </c>
      <c r="L39" s="32">
        <v>45678</v>
      </c>
      <c r="M39" s="32">
        <v>45678</v>
      </c>
      <c r="N39" s="38">
        <v>46047</v>
      </c>
      <c r="O39" s="33" t="s">
        <v>109</v>
      </c>
      <c r="P39" s="34" t="s">
        <v>9</v>
      </c>
      <c r="Q39" s="39" t="s">
        <v>99</v>
      </c>
      <c r="R39" s="35" t="str">
        <f t="shared" ca="1" si="4"/>
        <v>1 Tahun 1 Bulan 25 Hari</v>
      </c>
    </row>
    <row r="40" spans="1:18" s="36" customFormat="1" ht="40.5" customHeight="1" x14ac:dyDescent="0.5">
      <c r="A40" s="26">
        <v>34</v>
      </c>
      <c r="B40" s="27">
        <v>2210512</v>
      </c>
      <c r="C40" s="28" t="s">
        <v>443</v>
      </c>
      <c r="D40" s="47" t="s">
        <v>110</v>
      </c>
      <c r="E40" s="30" t="s">
        <v>3</v>
      </c>
      <c r="F40" s="30" t="s">
        <v>27</v>
      </c>
      <c r="G40" s="31" t="s">
        <v>5</v>
      </c>
      <c r="H40" s="31" t="str">
        <f t="shared" si="5"/>
        <v>PKWTP</v>
      </c>
      <c r="I40" s="32">
        <v>35334</v>
      </c>
      <c r="J40" s="31" t="s">
        <v>33</v>
      </c>
      <c r="K40" s="30" t="s">
        <v>7</v>
      </c>
      <c r="L40" s="32">
        <v>45678</v>
      </c>
      <c r="M40" s="32">
        <v>45678</v>
      </c>
      <c r="N40" s="38">
        <v>46047</v>
      </c>
      <c r="O40" s="33" t="s">
        <v>111</v>
      </c>
      <c r="P40" s="34" t="s">
        <v>9</v>
      </c>
      <c r="Q40" s="39" t="s">
        <v>99</v>
      </c>
      <c r="R40" s="35" t="str">
        <f t="shared" ca="1" si="4"/>
        <v>1 Tahun 1 Bulan 25 Hari</v>
      </c>
    </row>
    <row r="41" spans="1:18" s="36" customFormat="1" ht="40.5" customHeight="1" x14ac:dyDescent="0.5">
      <c r="A41" s="26">
        <v>35</v>
      </c>
      <c r="B41" s="27">
        <v>2212516</v>
      </c>
      <c r="C41" s="28" t="s">
        <v>442</v>
      </c>
      <c r="D41" s="47" t="s">
        <v>112</v>
      </c>
      <c r="E41" s="30" t="s">
        <v>113</v>
      </c>
      <c r="F41" s="30" t="s">
        <v>27</v>
      </c>
      <c r="G41" s="31" t="s">
        <v>32</v>
      </c>
      <c r="H41" s="31" t="str">
        <f t="shared" si="5"/>
        <v>PKWTL</v>
      </c>
      <c r="I41" s="32">
        <v>37837</v>
      </c>
      <c r="J41" s="31" t="s">
        <v>33</v>
      </c>
      <c r="K41" s="30" t="s">
        <v>50</v>
      </c>
      <c r="L41" s="32">
        <v>45678</v>
      </c>
      <c r="M41" s="32">
        <v>45678</v>
      </c>
      <c r="N41" s="38">
        <v>46047</v>
      </c>
      <c r="O41" s="33" t="s">
        <v>114</v>
      </c>
      <c r="P41" s="34" t="s">
        <v>9</v>
      </c>
      <c r="Q41" s="39" t="s">
        <v>99</v>
      </c>
      <c r="R41" s="35" t="str">
        <f t="shared" ca="1" si="4"/>
        <v>1 Tahun 1 Bulan 25 Hari</v>
      </c>
    </row>
    <row r="42" spans="1:18" s="36" customFormat="1" ht="40.5" customHeight="1" x14ac:dyDescent="0.5">
      <c r="A42" s="26">
        <v>36</v>
      </c>
      <c r="B42" s="48">
        <v>2507537</v>
      </c>
      <c r="C42" s="28" t="s">
        <v>454</v>
      </c>
      <c r="D42" s="47" t="s">
        <v>115</v>
      </c>
      <c r="E42" s="30" t="s">
        <v>3</v>
      </c>
      <c r="F42" s="30" t="s">
        <v>27</v>
      </c>
      <c r="G42" s="31" t="s">
        <v>32</v>
      </c>
      <c r="H42" s="31" t="str">
        <f t="shared" si="5"/>
        <v>PKWTL</v>
      </c>
      <c r="I42" s="32">
        <v>34448</v>
      </c>
      <c r="J42" s="31" t="s">
        <v>33</v>
      </c>
      <c r="K42" s="30" t="s">
        <v>50</v>
      </c>
      <c r="L42" s="32">
        <v>45678</v>
      </c>
      <c r="M42" s="32">
        <v>45678</v>
      </c>
      <c r="N42" s="38">
        <v>46047</v>
      </c>
      <c r="O42" s="33" t="s">
        <v>116</v>
      </c>
      <c r="P42" s="34" t="s">
        <v>9</v>
      </c>
      <c r="Q42" s="39" t="s">
        <v>99</v>
      </c>
      <c r="R42" s="35" t="str">
        <f t="shared" ca="1" si="4"/>
        <v>1 Tahun 1 Bulan 25 Hari</v>
      </c>
    </row>
    <row r="43" spans="1:18" s="36" customFormat="1" ht="40.5" customHeight="1" x14ac:dyDescent="0.5">
      <c r="A43" s="26">
        <v>37</v>
      </c>
      <c r="B43" s="48">
        <v>2507540</v>
      </c>
      <c r="C43" s="28" t="s">
        <v>395</v>
      </c>
      <c r="D43" s="47" t="s">
        <v>117</v>
      </c>
      <c r="E43" s="30" t="s">
        <v>3</v>
      </c>
      <c r="F43" s="30" t="s">
        <v>27</v>
      </c>
      <c r="G43" s="31" t="s">
        <v>32</v>
      </c>
      <c r="H43" s="31" t="str">
        <f t="shared" si="5"/>
        <v>PKWTL</v>
      </c>
      <c r="I43" s="32">
        <v>31966</v>
      </c>
      <c r="J43" s="31" t="s">
        <v>13</v>
      </c>
      <c r="K43" s="30" t="s">
        <v>7</v>
      </c>
      <c r="L43" s="32">
        <v>45813</v>
      </c>
      <c r="M43" s="32">
        <v>45813</v>
      </c>
      <c r="N43" s="38">
        <v>46047</v>
      </c>
      <c r="O43" s="33" t="s">
        <v>118</v>
      </c>
      <c r="P43" s="34" t="s">
        <v>9</v>
      </c>
      <c r="Q43" s="39" t="s">
        <v>99</v>
      </c>
      <c r="R43" s="35" t="str">
        <f t="shared" ca="1" si="4"/>
        <v>0 Tahun 9 Bulan 13 Hari</v>
      </c>
    </row>
    <row r="44" spans="1:18" s="36" customFormat="1" ht="40.5" customHeight="1" x14ac:dyDescent="0.5">
      <c r="A44" s="26">
        <v>38</v>
      </c>
      <c r="B44" s="48">
        <v>2507541</v>
      </c>
      <c r="C44" s="52" t="s">
        <v>453</v>
      </c>
      <c r="D44" s="53" t="s">
        <v>120</v>
      </c>
      <c r="E44" s="54" t="s">
        <v>3</v>
      </c>
      <c r="F44" s="54" t="s">
        <v>12</v>
      </c>
      <c r="G44" s="55" t="s">
        <v>5</v>
      </c>
      <c r="H44" s="55" t="str">
        <f t="shared" si="5"/>
        <v>HARIANP</v>
      </c>
      <c r="I44" s="56">
        <v>37555</v>
      </c>
      <c r="J44" s="55" t="s">
        <v>13</v>
      </c>
      <c r="K44" s="54" t="s">
        <v>50</v>
      </c>
      <c r="L44" s="56">
        <v>45985</v>
      </c>
      <c r="M44" s="56">
        <f>L44</f>
        <v>45985</v>
      </c>
      <c r="N44" s="57" t="s">
        <v>14</v>
      </c>
      <c r="O44" s="58" t="s">
        <v>121</v>
      </c>
      <c r="P44" s="59" t="s">
        <v>9</v>
      </c>
      <c r="Q44" s="60" t="s">
        <v>99</v>
      </c>
      <c r="R44" s="61" t="str">
        <f t="shared" ca="1" si="4"/>
        <v>0 Tahun 3 Bulan 22 Hari</v>
      </c>
    </row>
    <row r="45" spans="1:18" s="36" customFormat="1" ht="40.5" customHeight="1" x14ac:dyDescent="0.5">
      <c r="A45" s="26">
        <v>39</v>
      </c>
      <c r="B45" s="48">
        <v>2507538</v>
      </c>
      <c r="C45" s="52" t="s">
        <v>391</v>
      </c>
      <c r="D45" s="53" t="s">
        <v>123</v>
      </c>
      <c r="E45" s="54" t="s">
        <v>3</v>
      </c>
      <c r="F45" s="54" t="s">
        <v>12</v>
      </c>
      <c r="G45" s="55" t="s">
        <v>32</v>
      </c>
      <c r="H45" s="55" t="str">
        <f t="shared" si="5"/>
        <v>HARIANL</v>
      </c>
      <c r="I45" s="56">
        <v>32195</v>
      </c>
      <c r="J45" s="55" t="s">
        <v>13</v>
      </c>
      <c r="K45" s="54" t="s">
        <v>7</v>
      </c>
      <c r="L45" s="56">
        <v>45985</v>
      </c>
      <c r="M45" s="56">
        <f t="shared" ref="M45:M47" si="6">L45</f>
        <v>45985</v>
      </c>
      <c r="N45" s="57" t="s">
        <v>14</v>
      </c>
      <c r="O45" s="58" t="s">
        <v>124</v>
      </c>
      <c r="P45" s="59" t="s">
        <v>9</v>
      </c>
      <c r="Q45" s="60" t="s">
        <v>99</v>
      </c>
      <c r="R45" s="61" t="str">
        <f t="shared" ca="1" si="4"/>
        <v>0 Tahun 3 Bulan 22 Hari</v>
      </c>
    </row>
    <row r="46" spans="1:18" s="36" customFormat="1" ht="40.5" customHeight="1" x14ac:dyDescent="0.5">
      <c r="A46" s="26">
        <v>40</v>
      </c>
      <c r="B46" s="48">
        <v>2507539</v>
      </c>
      <c r="C46" s="52" t="s">
        <v>383</v>
      </c>
      <c r="D46" s="53" t="s">
        <v>126</v>
      </c>
      <c r="E46" s="54" t="s">
        <v>3</v>
      </c>
      <c r="F46" s="54" t="s">
        <v>12</v>
      </c>
      <c r="G46" s="55" t="s">
        <v>32</v>
      </c>
      <c r="H46" s="55" t="str">
        <f t="shared" si="5"/>
        <v>HARIANL</v>
      </c>
      <c r="I46" s="56">
        <v>31877</v>
      </c>
      <c r="J46" s="55" t="s">
        <v>13</v>
      </c>
      <c r="K46" s="54" t="s">
        <v>50</v>
      </c>
      <c r="L46" s="56">
        <v>45985</v>
      </c>
      <c r="M46" s="56">
        <f t="shared" si="6"/>
        <v>45985</v>
      </c>
      <c r="N46" s="57" t="s">
        <v>14</v>
      </c>
      <c r="O46" s="58" t="s">
        <v>127</v>
      </c>
      <c r="P46" s="59" t="s">
        <v>9</v>
      </c>
      <c r="Q46" s="60" t="s">
        <v>99</v>
      </c>
      <c r="R46" s="61" t="str">
        <f t="shared" ca="1" si="4"/>
        <v>0 Tahun 3 Bulan 22 Hari</v>
      </c>
    </row>
    <row r="47" spans="1:18" s="36" customFormat="1" ht="40.5" customHeight="1" x14ac:dyDescent="0.5">
      <c r="A47" s="26">
        <v>41</v>
      </c>
      <c r="B47" s="48">
        <v>2601552</v>
      </c>
      <c r="C47" s="52" t="s">
        <v>444</v>
      </c>
      <c r="D47" s="53" t="s">
        <v>129</v>
      </c>
      <c r="E47" s="54" t="s">
        <v>3</v>
      </c>
      <c r="F47" s="54" t="s">
        <v>12</v>
      </c>
      <c r="G47" s="55" t="s">
        <v>32</v>
      </c>
      <c r="H47" s="55" t="str">
        <f t="shared" si="5"/>
        <v>HARIANL</v>
      </c>
      <c r="I47" s="56">
        <v>37722</v>
      </c>
      <c r="J47" s="55" t="s">
        <v>13</v>
      </c>
      <c r="K47" s="54" t="s">
        <v>50</v>
      </c>
      <c r="L47" s="56">
        <v>45985</v>
      </c>
      <c r="M47" s="56">
        <f t="shared" si="6"/>
        <v>45985</v>
      </c>
      <c r="N47" s="57" t="s">
        <v>14</v>
      </c>
      <c r="O47" s="58" t="s">
        <v>130</v>
      </c>
      <c r="P47" s="59" t="s">
        <v>9</v>
      </c>
      <c r="Q47" s="60" t="s">
        <v>99</v>
      </c>
      <c r="R47" s="61" t="str">
        <f t="shared" ca="1" si="4"/>
        <v>0 Tahun 3 Bulan 22 Hari</v>
      </c>
    </row>
    <row r="48" spans="1:18" ht="40.5" customHeight="1" x14ac:dyDescent="0.5">
      <c r="A48" s="50">
        <v>42</v>
      </c>
      <c r="B48" s="51" t="s">
        <v>119</v>
      </c>
      <c r="C48" s="28" t="s">
        <v>431</v>
      </c>
      <c r="D48" s="47" t="s">
        <v>132</v>
      </c>
      <c r="E48" s="30" t="s">
        <v>3</v>
      </c>
      <c r="F48" s="30" t="s">
        <v>12</v>
      </c>
      <c r="G48" s="31" t="s">
        <v>5</v>
      </c>
      <c r="H48" s="31" t="str">
        <f>F48&amp;G48</f>
        <v>HARIANP</v>
      </c>
      <c r="I48" s="32" t="s">
        <v>133</v>
      </c>
      <c r="J48" s="31" t="s">
        <v>13</v>
      </c>
      <c r="K48" s="30" t="s">
        <v>7</v>
      </c>
      <c r="L48" s="32">
        <v>45776</v>
      </c>
      <c r="M48" s="32">
        <v>45776</v>
      </c>
      <c r="N48" s="38">
        <v>46047</v>
      </c>
      <c r="O48" s="33" t="s">
        <v>134</v>
      </c>
      <c r="P48" s="34" t="s">
        <v>9</v>
      </c>
      <c r="Q48" s="39" t="s">
        <v>99</v>
      </c>
      <c r="R48" s="35" t="str">
        <f t="shared" ca="1" si="4"/>
        <v>0 Tahun 10 Bulan 17 Hari</v>
      </c>
    </row>
    <row r="49" spans="1:18" ht="40.5" customHeight="1" x14ac:dyDescent="0.5">
      <c r="A49" s="50">
        <v>43</v>
      </c>
      <c r="B49" s="51" t="s">
        <v>122</v>
      </c>
      <c r="C49" s="28" t="s">
        <v>445</v>
      </c>
      <c r="D49" s="47" t="s">
        <v>135</v>
      </c>
      <c r="E49" s="30" t="s">
        <v>3</v>
      </c>
      <c r="F49" s="30" t="s">
        <v>27</v>
      </c>
      <c r="G49" s="31" t="s">
        <v>32</v>
      </c>
      <c r="H49" s="31" t="str">
        <f t="shared" ref="H49:H55" si="7">F49&amp;G49</f>
        <v>PKWTL</v>
      </c>
      <c r="I49" s="32" t="s">
        <v>136</v>
      </c>
      <c r="J49" s="31" t="s">
        <v>13</v>
      </c>
      <c r="K49" s="30" t="s">
        <v>137</v>
      </c>
      <c r="L49" s="32">
        <v>45782</v>
      </c>
      <c r="M49" s="32">
        <v>45782</v>
      </c>
      <c r="N49" s="38">
        <v>46047</v>
      </c>
      <c r="O49" s="33" t="s">
        <v>134</v>
      </c>
      <c r="P49" s="34" t="s">
        <v>9</v>
      </c>
      <c r="Q49" s="39" t="s">
        <v>99</v>
      </c>
      <c r="R49" s="35" t="str">
        <f t="shared" ca="1" si="4"/>
        <v>0 Tahun 10 Bulan 13 Hari</v>
      </c>
    </row>
    <row r="50" spans="1:18" ht="40.5" customHeight="1" x14ac:dyDescent="0.5">
      <c r="A50" s="50">
        <v>44</v>
      </c>
      <c r="B50" s="51" t="s">
        <v>125</v>
      </c>
      <c r="C50" s="28" t="s">
        <v>436</v>
      </c>
      <c r="D50" s="62" t="s">
        <v>139</v>
      </c>
      <c r="E50" s="30" t="s">
        <v>3</v>
      </c>
      <c r="F50" s="30" t="s">
        <v>12</v>
      </c>
      <c r="G50" s="30" t="s">
        <v>32</v>
      </c>
      <c r="H50" s="31" t="str">
        <f t="shared" si="7"/>
        <v>HARIANL</v>
      </c>
      <c r="I50" s="43">
        <v>38418</v>
      </c>
      <c r="J50" s="30" t="s">
        <v>13</v>
      </c>
      <c r="K50" s="30" t="s">
        <v>50</v>
      </c>
      <c r="L50" s="63">
        <v>45824</v>
      </c>
      <c r="M50" s="43" t="s">
        <v>140</v>
      </c>
      <c r="N50" s="38">
        <v>46047</v>
      </c>
      <c r="O50" s="64" t="s">
        <v>141</v>
      </c>
      <c r="P50" s="34" t="s">
        <v>9</v>
      </c>
      <c r="Q50" s="34" t="s">
        <v>99</v>
      </c>
      <c r="R50" s="35" t="str">
        <f t="shared" ca="1" si="4"/>
        <v>0 Tahun 9 Bulan 2 Hari</v>
      </c>
    </row>
    <row r="51" spans="1:18" ht="40.5" customHeight="1" x14ac:dyDescent="0.5">
      <c r="A51" s="50">
        <v>45</v>
      </c>
      <c r="B51" s="51" t="s">
        <v>128</v>
      </c>
      <c r="C51" s="28" t="s">
        <v>437</v>
      </c>
      <c r="D51" s="66" t="s">
        <v>143</v>
      </c>
      <c r="E51" s="30" t="s">
        <v>3</v>
      </c>
      <c r="F51" s="30" t="s">
        <v>12</v>
      </c>
      <c r="G51" s="30" t="s">
        <v>32</v>
      </c>
      <c r="H51" s="31" t="str">
        <f t="shared" si="7"/>
        <v>HARIANL</v>
      </c>
      <c r="I51" s="43" t="s">
        <v>144</v>
      </c>
      <c r="J51" s="30" t="s">
        <v>13</v>
      </c>
      <c r="K51" s="30" t="s">
        <v>7</v>
      </c>
      <c r="L51" s="63">
        <v>45824</v>
      </c>
      <c r="M51" s="43" t="s">
        <v>140</v>
      </c>
      <c r="N51" s="38">
        <v>46047</v>
      </c>
      <c r="O51" s="64" t="s">
        <v>145</v>
      </c>
      <c r="P51" s="34" t="s">
        <v>9</v>
      </c>
      <c r="Q51" s="34" t="s">
        <v>99</v>
      </c>
      <c r="R51" s="35" t="str">
        <f t="shared" ca="1" si="4"/>
        <v>0 Tahun 9 Bulan 2 Hari</v>
      </c>
    </row>
    <row r="52" spans="1:18" s="36" customFormat="1" ht="40.5" customHeight="1" x14ac:dyDescent="0.5">
      <c r="A52" s="26">
        <v>46</v>
      </c>
      <c r="B52" s="48" t="s">
        <v>131</v>
      </c>
      <c r="C52" s="28" t="s">
        <v>147</v>
      </c>
      <c r="D52" s="66" t="s">
        <v>148</v>
      </c>
      <c r="E52" s="30" t="s">
        <v>3</v>
      </c>
      <c r="F52" s="30" t="s">
        <v>12</v>
      </c>
      <c r="G52" s="30" t="s">
        <v>5</v>
      </c>
      <c r="H52" s="31" t="str">
        <f t="shared" si="7"/>
        <v>HARIANP</v>
      </c>
      <c r="I52" s="43" t="s">
        <v>149</v>
      </c>
      <c r="J52" s="30" t="s">
        <v>13</v>
      </c>
      <c r="K52" s="30" t="s">
        <v>7</v>
      </c>
      <c r="L52" s="43">
        <v>45838</v>
      </c>
      <c r="M52" s="43" t="s">
        <v>150</v>
      </c>
      <c r="N52" s="38">
        <v>46047</v>
      </c>
      <c r="O52" s="64" t="s">
        <v>151</v>
      </c>
      <c r="P52" s="34" t="s">
        <v>9</v>
      </c>
      <c r="Q52" s="34" t="s">
        <v>99</v>
      </c>
      <c r="R52" s="35" t="str">
        <f t="shared" ca="1" si="4"/>
        <v>0 Tahun 8 Bulan 16 Hari</v>
      </c>
    </row>
    <row r="53" spans="1:18" s="36" customFormat="1" ht="40.5" customHeight="1" x14ac:dyDescent="0.5">
      <c r="A53" s="26">
        <v>47</v>
      </c>
      <c r="B53" s="48">
        <v>2601565</v>
      </c>
      <c r="C53" s="28" t="s">
        <v>153</v>
      </c>
      <c r="D53" s="66" t="s">
        <v>154</v>
      </c>
      <c r="E53" s="30" t="s">
        <v>155</v>
      </c>
      <c r="F53" s="30" t="s">
        <v>12</v>
      </c>
      <c r="G53" s="30" t="s">
        <v>5</v>
      </c>
      <c r="H53" s="31" t="str">
        <f t="shared" si="7"/>
        <v>HARIANP</v>
      </c>
      <c r="I53" s="43" t="s">
        <v>156</v>
      </c>
      <c r="J53" s="30" t="s">
        <v>13</v>
      </c>
      <c r="K53" s="30" t="s">
        <v>50</v>
      </c>
      <c r="L53" s="43">
        <v>45838</v>
      </c>
      <c r="M53" s="43" t="s">
        <v>150</v>
      </c>
      <c r="N53" s="38">
        <v>46047</v>
      </c>
      <c r="O53" s="33" t="s">
        <v>157</v>
      </c>
      <c r="P53" s="34" t="s">
        <v>9</v>
      </c>
      <c r="Q53" s="34" t="s">
        <v>99</v>
      </c>
      <c r="R53" s="35" t="str">
        <f t="shared" ca="1" si="4"/>
        <v>0 Tahun 8 Bulan 16 Hari</v>
      </c>
    </row>
    <row r="54" spans="1:18" s="65" customFormat="1" ht="40.5" customHeight="1" x14ac:dyDescent="0.5">
      <c r="A54" s="26">
        <v>48</v>
      </c>
      <c r="B54" s="28" t="s">
        <v>138</v>
      </c>
      <c r="C54" s="28" t="s">
        <v>158</v>
      </c>
      <c r="D54" s="66" t="s">
        <v>159</v>
      </c>
      <c r="E54" s="30" t="s">
        <v>3</v>
      </c>
      <c r="F54" s="30" t="s">
        <v>27</v>
      </c>
      <c r="G54" s="30" t="s">
        <v>32</v>
      </c>
      <c r="H54" s="31" t="str">
        <f t="shared" si="7"/>
        <v>PKWTL</v>
      </c>
      <c r="I54" s="43" t="s">
        <v>160</v>
      </c>
      <c r="J54" s="30" t="s">
        <v>13</v>
      </c>
      <c r="K54" s="30" t="s">
        <v>7</v>
      </c>
      <c r="L54" s="43">
        <v>45838</v>
      </c>
      <c r="M54" s="43" t="s">
        <v>150</v>
      </c>
      <c r="N54" s="38">
        <v>46047</v>
      </c>
      <c r="O54" s="64" t="s">
        <v>161</v>
      </c>
      <c r="P54" s="34" t="s">
        <v>9</v>
      </c>
      <c r="Q54" s="34" t="s">
        <v>99</v>
      </c>
      <c r="R54" s="35" t="str">
        <f t="shared" ca="1" si="4"/>
        <v>0 Tahun 8 Bulan 16 Hari</v>
      </c>
    </row>
    <row r="55" spans="1:18" s="65" customFormat="1" ht="40.5" customHeight="1" x14ac:dyDescent="0.5">
      <c r="A55" s="26">
        <v>49</v>
      </c>
      <c r="B55" s="28" t="s">
        <v>142</v>
      </c>
      <c r="C55" s="28" t="s">
        <v>163</v>
      </c>
      <c r="D55" s="66" t="s">
        <v>164</v>
      </c>
      <c r="E55" s="30" t="s">
        <v>3</v>
      </c>
      <c r="F55" s="30" t="s">
        <v>12</v>
      </c>
      <c r="G55" s="30" t="s">
        <v>5</v>
      </c>
      <c r="H55" s="31" t="str">
        <f t="shared" si="7"/>
        <v>HARIANP</v>
      </c>
      <c r="I55" s="43" t="s">
        <v>165</v>
      </c>
      <c r="J55" s="30" t="s">
        <v>13</v>
      </c>
      <c r="K55" s="30" t="s">
        <v>50</v>
      </c>
      <c r="L55" s="43">
        <v>45838</v>
      </c>
      <c r="M55" s="43" t="s">
        <v>150</v>
      </c>
      <c r="N55" s="63" t="s">
        <v>14</v>
      </c>
      <c r="O55" s="64" t="s">
        <v>166</v>
      </c>
      <c r="P55" s="34" t="s">
        <v>9</v>
      </c>
      <c r="Q55" s="34" t="s">
        <v>99</v>
      </c>
      <c r="R55" s="35" t="str">
        <f t="shared" ca="1" si="4"/>
        <v>0 Tahun 8 Bulan 16 Hari</v>
      </c>
    </row>
    <row r="56" spans="1:18" s="65" customFormat="1" ht="40.5" customHeight="1" x14ac:dyDescent="0.5">
      <c r="A56" s="26">
        <v>50</v>
      </c>
      <c r="B56" s="49" t="s">
        <v>146</v>
      </c>
      <c r="C56" s="16" t="s">
        <v>387</v>
      </c>
      <c r="D56" s="67" t="s">
        <v>167</v>
      </c>
      <c r="E56" s="18" t="s">
        <v>3</v>
      </c>
      <c r="F56" s="18" t="s">
        <v>4</v>
      </c>
      <c r="G56" s="18" t="s">
        <v>32</v>
      </c>
      <c r="H56" s="18" t="str">
        <f>F56&amp;G56</f>
        <v>PKWTTL</v>
      </c>
      <c r="I56" s="68">
        <v>29979</v>
      </c>
      <c r="J56" s="18" t="s">
        <v>13</v>
      </c>
      <c r="K56" s="18" t="s">
        <v>7</v>
      </c>
      <c r="L56" s="68">
        <v>44259</v>
      </c>
      <c r="M56" s="68" t="str">
        <f t="shared" ref="M56:M70" si="8">TEXT(L56,"dd/mm/yyyy")</f>
        <v>04/03/2021</v>
      </c>
      <c r="N56" s="69">
        <f>EDATE(I56,55*12)</f>
        <v>50068</v>
      </c>
      <c r="O56" s="70" t="s">
        <v>168</v>
      </c>
      <c r="P56" s="23" t="s">
        <v>9</v>
      </c>
      <c r="Q56" s="23" t="s">
        <v>169</v>
      </c>
      <c r="R56" s="24" t="str">
        <f t="shared" ca="1" si="4"/>
        <v>5 Tahun 0 Bulan 14 Hari</v>
      </c>
    </row>
    <row r="57" spans="1:18" s="65" customFormat="1" ht="40.5" customHeight="1" x14ac:dyDescent="0.5">
      <c r="A57" s="26">
        <v>51</v>
      </c>
      <c r="B57" s="49" t="s">
        <v>152</v>
      </c>
      <c r="C57" s="28" t="s">
        <v>388</v>
      </c>
      <c r="D57" s="62" t="s">
        <v>170</v>
      </c>
      <c r="E57" s="30" t="s">
        <v>3</v>
      </c>
      <c r="F57" s="30" t="s">
        <v>27</v>
      </c>
      <c r="G57" s="30" t="s">
        <v>32</v>
      </c>
      <c r="H57" s="30" t="str">
        <f>F57&amp;G57</f>
        <v>PKWTL</v>
      </c>
      <c r="I57" s="43">
        <v>31829</v>
      </c>
      <c r="J57" s="30" t="s">
        <v>13</v>
      </c>
      <c r="K57" s="30" t="s">
        <v>7</v>
      </c>
      <c r="L57" s="43">
        <v>44535</v>
      </c>
      <c r="M57" s="43" t="str">
        <f t="shared" si="8"/>
        <v>05/12/2021</v>
      </c>
      <c r="N57" s="38">
        <v>46047</v>
      </c>
      <c r="O57" s="64" t="s">
        <v>171</v>
      </c>
      <c r="P57" s="34" t="s">
        <v>9</v>
      </c>
      <c r="Q57" s="34" t="s">
        <v>169</v>
      </c>
      <c r="R57" s="35" t="str">
        <f t="shared" ca="1" si="4"/>
        <v>4 Tahun 3 Bulan 13 Hari</v>
      </c>
    </row>
    <row r="58" spans="1:18" s="65" customFormat="1" ht="40.5" customHeight="1" x14ac:dyDescent="0.5">
      <c r="A58" s="26">
        <v>52</v>
      </c>
      <c r="B58" s="49">
        <v>2601551</v>
      </c>
      <c r="C58" s="28" t="s">
        <v>448</v>
      </c>
      <c r="D58" s="66" t="s">
        <v>173</v>
      </c>
      <c r="E58" s="30" t="s">
        <v>3</v>
      </c>
      <c r="F58" s="30" t="s">
        <v>12</v>
      </c>
      <c r="G58" s="30" t="s">
        <v>32</v>
      </c>
      <c r="H58" s="30" t="str">
        <f>F58&amp;G58</f>
        <v>HARIANL</v>
      </c>
      <c r="I58" s="43">
        <v>28908</v>
      </c>
      <c r="J58" s="30" t="s">
        <v>33</v>
      </c>
      <c r="K58" s="30" t="s">
        <v>7</v>
      </c>
      <c r="L58" s="43">
        <v>46048</v>
      </c>
      <c r="M58" s="43" t="str">
        <f t="shared" si="8"/>
        <v>26/01/2026</v>
      </c>
      <c r="N58" s="38" t="s">
        <v>14</v>
      </c>
      <c r="O58" s="64" t="s">
        <v>174</v>
      </c>
      <c r="P58" s="34" t="s">
        <v>9</v>
      </c>
      <c r="Q58" s="34" t="s">
        <v>169</v>
      </c>
      <c r="R58" s="35" t="str">
        <f t="shared" ca="1" si="4"/>
        <v>0 Tahun 1 Bulan 20 Hari</v>
      </c>
    </row>
    <row r="59" spans="1:18" s="65" customFormat="1" ht="40.5" customHeight="1" x14ac:dyDescent="0.5">
      <c r="A59" s="26">
        <v>53</v>
      </c>
      <c r="B59" s="49" t="s">
        <v>162</v>
      </c>
      <c r="C59" s="16" t="s">
        <v>411</v>
      </c>
      <c r="D59" s="17" t="s">
        <v>175</v>
      </c>
      <c r="E59" s="18" t="s">
        <v>3</v>
      </c>
      <c r="F59" s="18" t="s">
        <v>4</v>
      </c>
      <c r="G59" s="19" t="s">
        <v>32</v>
      </c>
      <c r="H59" s="19" t="str">
        <f t="shared" si="5"/>
        <v>PKWTTL</v>
      </c>
      <c r="I59" s="20">
        <v>37363</v>
      </c>
      <c r="J59" s="19" t="s">
        <v>176</v>
      </c>
      <c r="K59" s="18" t="s">
        <v>7</v>
      </c>
      <c r="L59" s="20">
        <v>44047</v>
      </c>
      <c r="M59" s="20" t="str">
        <f t="shared" si="8"/>
        <v>04/08/2020</v>
      </c>
      <c r="N59" s="21">
        <f>EDATE(I59,55*12)</f>
        <v>57452</v>
      </c>
      <c r="O59" s="22" t="s">
        <v>177</v>
      </c>
      <c r="P59" s="23" t="s">
        <v>178</v>
      </c>
      <c r="Q59" s="14" t="s">
        <v>179</v>
      </c>
      <c r="R59" s="24" t="str">
        <f t="shared" ca="1" si="4"/>
        <v>5 Tahun 7 Bulan 14 Hari</v>
      </c>
    </row>
    <row r="60" spans="1:18" s="71" customFormat="1" ht="40.5" customHeight="1" x14ac:dyDescent="0.5">
      <c r="A60" s="14">
        <v>54</v>
      </c>
      <c r="B60" s="16">
        <v>2103452</v>
      </c>
      <c r="C60" s="16" t="s">
        <v>455</v>
      </c>
      <c r="D60" s="17" t="s">
        <v>180</v>
      </c>
      <c r="E60" s="18" t="s">
        <v>3</v>
      </c>
      <c r="F60" s="18" t="s">
        <v>4</v>
      </c>
      <c r="G60" s="19" t="s">
        <v>32</v>
      </c>
      <c r="H60" s="19" t="str">
        <f t="shared" si="5"/>
        <v>PKWTTL</v>
      </c>
      <c r="I60" s="20">
        <v>34807</v>
      </c>
      <c r="J60" s="19" t="s">
        <v>33</v>
      </c>
      <c r="K60" s="18" t="s">
        <v>7</v>
      </c>
      <c r="L60" s="20">
        <v>44259</v>
      </c>
      <c r="M60" s="20" t="str">
        <f t="shared" si="8"/>
        <v>04/03/2021</v>
      </c>
      <c r="N60" s="21">
        <f>EDATE(I60,55*12)</f>
        <v>54896</v>
      </c>
      <c r="O60" s="22" t="s">
        <v>181</v>
      </c>
      <c r="P60" s="23" t="s">
        <v>178</v>
      </c>
      <c r="Q60" s="14" t="s">
        <v>179</v>
      </c>
      <c r="R60" s="24" t="str">
        <f t="shared" ca="1" si="4"/>
        <v>5 Tahun 0 Bulan 14 Hari</v>
      </c>
    </row>
    <row r="61" spans="1:18" s="65" customFormat="1" ht="40.5" customHeight="1" x14ac:dyDescent="0.5">
      <c r="A61" s="26">
        <v>55</v>
      </c>
      <c r="B61" s="28">
        <v>2112503</v>
      </c>
      <c r="C61" s="28" t="s">
        <v>423</v>
      </c>
      <c r="D61" s="47" t="s">
        <v>182</v>
      </c>
      <c r="E61" s="30" t="s">
        <v>3</v>
      </c>
      <c r="F61" s="30" t="s">
        <v>27</v>
      </c>
      <c r="G61" s="31" t="s">
        <v>32</v>
      </c>
      <c r="H61" s="31" t="str">
        <f t="shared" si="5"/>
        <v>PKWTL</v>
      </c>
      <c r="I61" s="32">
        <v>32907</v>
      </c>
      <c r="J61" s="31" t="s">
        <v>33</v>
      </c>
      <c r="K61" s="30" t="s">
        <v>50</v>
      </c>
      <c r="L61" s="32">
        <v>44474</v>
      </c>
      <c r="M61" s="32" t="str">
        <f t="shared" si="8"/>
        <v>05/10/2021</v>
      </c>
      <c r="N61" s="38">
        <v>46290</v>
      </c>
      <c r="O61" s="33" t="s">
        <v>183</v>
      </c>
      <c r="P61" s="34" t="s">
        <v>9</v>
      </c>
      <c r="Q61" s="34" t="s">
        <v>184</v>
      </c>
      <c r="R61" s="35" t="str">
        <f t="shared" ca="1" si="4"/>
        <v>4 Tahun 5 Bulan 13 Hari</v>
      </c>
    </row>
    <row r="62" spans="1:18" s="65" customFormat="1" ht="40.5" customHeight="1" x14ac:dyDescent="0.5">
      <c r="A62" s="26">
        <v>56</v>
      </c>
      <c r="B62" s="49" t="s">
        <v>172</v>
      </c>
      <c r="C62" s="28" t="s">
        <v>449</v>
      </c>
      <c r="D62" s="47" t="s">
        <v>185</v>
      </c>
      <c r="E62" s="30" t="s">
        <v>3</v>
      </c>
      <c r="F62" s="30" t="s">
        <v>27</v>
      </c>
      <c r="G62" s="31" t="s">
        <v>5</v>
      </c>
      <c r="H62" s="31" t="str">
        <f t="shared" si="5"/>
        <v>PKWTP</v>
      </c>
      <c r="I62" s="72" t="s">
        <v>186</v>
      </c>
      <c r="J62" s="31" t="s">
        <v>33</v>
      </c>
      <c r="K62" s="30" t="s">
        <v>50</v>
      </c>
      <c r="L62" s="32">
        <v>45489</v>
      </c>
      <c r="M62" s="32" t="str">
        <f t="shared" si="8"/>
        <v>16/07/2024</v>
      </c>
      <c r="N62" s="38">
        <v>46290</v>
      </c>
      <c r="O62" s="33" t="s">
        <v>187</v>
      </c>
      <c r="P62" s="34" t="s">
        <v>9</v>
      </c>
      <c r="Q62" s="34" t="s">
        <v>184</v>
      </c>
      <c r="R62" s="35" t="str">
        <f t="shared" ca="1" si="4"/>
        <v>1 Tahun 8 Bulan 2 Hari</v>
      </c>
    </row>
    <row r="63" spans="1:18" s="71" customFormat="1" ht="40.5" customHeight="1" x14ac:dyDescent="0.5">
      <c r="A63" s="14">
        <v>57</v>
      </c>
      <c r="B63" s="15">
        <v>2008404</v>
      </c>
      <c r="C63" s="16" t="s">
        <v>421</v>
      </c>
      <c r="D63" s="41" t="s">
        <v>188</v>
      </c>
      <c r="E63" s="18" t="s">
        <v>189</v>
      </c>
      <c r="F63" s="18" t="s">
        <v>4</v>
      </c>
      <c r="G63" s="19" t="s">
        <v>32</v>
      </c>
      <c r="H63" s="19" t="str">
        <f t="shared" si="5"/>
        <v>PKWTTL</v>
      </c>
      <c r="I63" s="73">
        <v>27055</v>
      </c>
      <c r="J63" s="19" t="s">
        <v>176</v>
      </c>
      <c r="K63" s="18" t="s">
        <v>7</v>
      </c>
      <c r="L63" s="73">
        <v>35734</v>
      </c>
      <c r="M63" s="20" t="str">
        <f t="shared" si="8"/>
        <v>31/10/1997</v>
      </c>
      <c r="N63" s="21">
        <f t="shared" ref="N63:N70" si="9">EDATE(I63,55*12)</f>
        <v>47144</v>
      </c>
      <c r="O63" s="15" t="s">
        <v>190</v>
      </c>
      <c r="P63" s="18" t="s">
        <v>191</v>
      </c>
      <c r="Q63" s="19" t="s">
        <v>191</v>
      </c>
      <c r="R63" s="24" t="str">
        <f t="shared" ca="1" si="4"/>
        <v>28 Tahun 4 Bulan 15 Hari</v>
      </c>
    </row>
    <row r="64" spans="1:18" s="25" customFormat="1" ht="40.5" customHeight="1" x14ac:dyDescent="0.5">
      <c r="A64" s="14">
        <v>58</v>
      </c>
      <c r="B64" s="15">
        <v>2301521</v>
      </c>
      <c r="C64" s="49" t="s">
        <v>192</v>
      </c>
      <c r="D64" s="74" t="s">
        <v>193</v>
      </c>
      <c r="E64" s="39" t="s">
        <v>189</v>
      </c>
      <c r="F64" s="39" t="s">
        <v>27</v>
      </c>
      <c r="G64" s="75" t="s">
        <v>32</v>
      </c>
      <c r="H64" s="75" t="str">
        <f>F64&amp;G64</f>
        <v>PKWTL</v>
      </c>
      <c r="I64" s="38" t="s">
        <v>194</v>
      </c>
      <c r="J64" s="75" t="s">
        <v>176</v>
      </c>
      <c r="K64" s="39" t="s">
        <v>7</v>
      </c>
      <c r="L64" s="38">
        <v>45939</v>
      </c>
      <c r="M64" s="32" t="str">
        <f t="shared" si="8"/>
        <v>09/10/2025</v>
      </c>
      <c r="N64" s="38">
        <v>411546</v>
      </c>
      <c r="O64" s="48" t="s">
        <v>195</v>
      </c>
      <c r="P64" s="34" t="s">
        <v>196</v>
      </c>
      <c r="Q64" s="26" t="s">
        <v>197</v>
      </c>
      <c r="R64" s="35" t="str">
        <f t="shared" ca="1" si="4"/>
        <v>0 Tahun 5 Bulan 9 Hari</v>
      </c>
    </row>
    <row r="65" spans="1:18" s="36" customFormat="1" ht="40.5" customHeight="1" x14ac:dyDescent="0.5">
      <c r="A65" s="26">
        <v>59</v>
      </c>
      <c r="B65" s="27">
        <v>2110500</v>
      </c>
      <c r="C65" s="28" t="s">
        <v>412</v>
      </c>
      <c r="D65" s="29" t="s">
        <v>198</v>
      </c>
      <c r="E65" s="30" t="s">
        <v>3</v>
      </c>
      <c r="F65" s="30" t="s">
        <v>27</v>
      </c>
      <c r="G65" s="31" t="s">
        <v>32</v>
      </c>
      <c r="H65" s="31" t="str">
        <f t="shared" si="5"/>
        <v>PKWTL</v>
      </c>
      <c r="I65" s="32">
        <v>25765</v>
      </c>
      <c r="J65" s="31" t="s">
        <v>176</v>
      </c>
      <c r="K65" s="30" t="s">
        <v>7</v>
      </c>
      <c r="L65" s="32">
        <v>45854</v>
      </c>
      <c r="M65" s="32" t="str">
        <f t="shared" si="8"/>
        <v>16/07/2025</v>
      </c>
      <c r="N65" s="32">
        <v>46219</v>
      </c>
      <c r="O65" s="33" t="s">
        <v>73</v>
      </c>
      <c r="P65" s="34" t="s">
        <v>199</v>
      </c>
      <c r="Q65" s="26" t="s">
        <v>196</v>
      </c>
      <c r="R65" s="35" t="str">
        <f t="shared" ca="1" si="4"/>
        <v>0 Tahun 8 Bulan 2 Hari</v>
      </c>
    </row>
    <row r="66" spans="1:18" s="36" customFormat="1" ht="40.5" customHeight="1" x14ac:dyDescent="0.5">
      <c r="A66" s="26">
        <v>60</v>
      </c>
      <c r="B66" s="27">
        <v>2401528</v>
      </c>
      <c r="C66" s="16" t="s">
        <v>410</v>
      </c>
      <c r="D66" s="17" t="s">
        <v>200</v>
      </c>
      <c r="E66" s="18" t="s">
        <v>3</v>
      </c>
      <c r="F66" s="18" t="s">
        <v>4</v>
      </c>
      <c r="G66" s="19" t="s">
        <v>5</v>
      </c>
      <c r="H66" s="19" t="str">
        <f t="shared" si="5"/>
        <v>PKWTTP</v>
      </c>
      <c r="I66" s="20">
        <v>29150</v>
      </c>
      <c r="J66" s="19" t="s">
        <v>33</v>
      </c>
      <c r="K66" s="18" t="s">
        <v>7</v>
      </c>
      <c r="L66" s="20">
        <v>36960</v>
      </c>
      <c r="M66" s="20" t="str">
        <f t="shared" si="8"/>
        <v>10/03/2001</v>
      </c>
      <c r="N66" s="21">
        <f t="shared" si="9"/>
        <v>49239</v>
      </c>
      <c r="O66" s="22" t="s">
        <v>201</v>
      </c>
      <c r="P66" s="23" t="s">
        <v>202</v>
      </c>
      <c r="Q66" s="14" t="s">
        <v>196</v>
      </c>
      <c r="R66" s="24" t="str">
        <f t="shared" ca="1" si="4"/>
        <v>25 Tahun 0 Bulan 8 Hari</v>
      </c>
    </row>
    <row r="67" spans="1:18" s="25" customFormat="1" ht="40.5" customHeight="1" x14ac:dyDescent="0.5">
      <c r="A67" s="14">
        <v>61</v>
      </c>
      <c r="B67" s="15">
        <v>971004</v>
      </c>
      <c r="C67" s="16" t="s">
        <v>446</v>
      </c>
      <c r="D67" s="17" t="s">
        <v>204</v>
      </c>
      <c r="E67" s="18" t="s">
        <v>3</v>
      </c>
      <c r="F67" s="18" t="s">
        <v>4</v>
      </c>
      <c r="G67" s="19" t="s">
        <v>32</v>
      </c>
      <c r="H67" s="19" t="str">
        <f t="shared" si="5"/>
        <v>PKWTTL</v>
      </c>
      <c r="I67" s="20">
        <v>27055</v>
      </c>
      <c r="J67" s="19" t="s">
        <v>176</v>
      </c>
      <c r="K67" s="18" t="s">
        <v>7</v>
      </c>
      <c r="L67" s="20">
        <v>36803</v>
      </c>
      <c r="M67" s="20" t="str">
        <f t="shared" si="8"/>
        <v>04/10/2000</v>
      </c>
      <c r="N67" s="21">
        <f t="shared" si="9"/>
        <v>47144</v>
      </c>
      <c r="O67" s="22" t="s">
        <v>205</v>
      </c>
      <c r="P67" s="23" t="s">
        <v>206</v>
      </c>
      <c r="Q67" s="14" t="s">
        <v>196</v>
      </c>
      <c r="R67" s="24" t="str">
        <f t="shared" ref="R67:R98" ca="1" si="10">DATEDIF(L67, TODAY(), "Y") &amp; " Tahun " &amp; DATEDIF(L67, TODAY(), "YM") &amp; " Bulan " &amp; DATEDIF(L67, TODAY(), "MD") &amp; " Hari"</f>
        <v>25 Tahun 5 Bulan 14 Hari</v>
      </c>
    </row>
    <row r="68" spans="1:18" s="36" customFormat="1" ht="40.5" customHeight="1" x14ac:dyDescent="0.5">
      <c r="A68" s="26">
        <v>62</v>
      </c>
      <c r="B68" s="48">
        <v>2511549</v>
      </c>
      <c r="C68" s="16" t="s">
        <v>419</v>
      </c>
      <c r="D68" s="17" t="s">
        <v>207</v>
      </c>
      <c r="E68" s="18" t="s">
        <v>3</v>
      </c>
      <c r="F68" s="18" t="s">
        <v>4</v>
      </c>
      <c r="G68" s="19" t="s">
        <v>5</v>
      </c>
      <c r="H68" s="19" t="str">
        <f t="shared" si="5"/>
        <v>PKWTTP</v>
      </c>
      <c r="I68" s="20">
        <v>28539</v>
      </c>
      <c r="J68" s="19" t="s">
        <v>33</v>
      </c>
      <c r="K68" s="18" t="s">
        <v>7</v>
      </c>
      <c r="L68" s="20">
        <v>35285</v>
      </c>
      <c r="M68" s="20" t="str">
        <f t="shared" si="8"/>
        <v>08/08/1996</v>
      </c>
      <c r="N68" s="21">
        <f t="shared" si="9"/>
        <v>48628</v>
      </c>
      <c r="O68" s="22" t="s">
        <v>208</v>
      </c>
      <c r="P68" s="23" t="s">
        <v>209</v>
      </c>
      <c r="Q68" s="14" t="s">
        <v>196</v>
      </c>
      <c r="R68" s="24" t="str">
        <f t="shared" ca="1" si="10"/>
        <v>29 Tahun 7 Bulan 10 Hari</v>
      </c>
    </row>
    <row r="69" spans="1:18" s="36" customFormat="1" ht="40.5" customHeight="1" x14ac:dyDescent="0.5">
      <c r="A69" s="26">
        <v>63</v>
      </c>
      <c r="B69" s="27">
        <v>9410007</v>
      </c>
      <c r="C69" s="16" t="s">
        <v>424</v>
      </c>
      <c r="D69" s="17" t="s">
        <v>210</v>
      </c>
      <c r="E69" s="18" t="s">
        <v>3</v>
      </c>
      <c r="F69" s="18" t="s">
        <v>4</v>
      </c>
      <c r="G69" s="19" t="s">
        <v>32</v>
      </c>
      <c r="H69" s="19" t="str">
        <f t="shared" si="5"/>
        <v>PKWTTL</v>
      </c>
      <c r="I69" s="20">
        <v>34477</v>
      </c>
      <c r="J69" s="19" t="s">
        <v>28</v>
      </c>
      <c r="K69" s="18" t="s">
        <v>7</v>
      </c>
      <c r="L69" s="20">
        <v>42707</v>
      </c>
      <c r="M69" s="20" t="str">
        <f t="shared" si="8"/>
        <v>03/12/2016</v>
      </c>
      <c r="N69" s="21">
        <f t="shared" si="9"/>
        <v>54566</v>
      </c>
      <c r="O69" s="22" t="s">
        <v>211</v>
      </c>
      <c r="P69" s="23" t="s">
        <v>212</v>
      </c>
      <c r="Q69" s="14" t="s">
        <v>196</v>
      </c>
      <c r="R69" s="24" t="str">
        <f t="shared" ca="1" si="10"/>
        <v>9 Tahun 3 Bulan 15 Hari</v>
      </c>
    </row>
    <row r="70" spans="1:18" s="25" customFormat="1" ht="40.5" customHeight="1" x14ac:dyDescent="0.5">
      <c r="A70" s="14">
        <v>64</v>
      </c>
      <c r="B70" s="15">
        <v>103089</v>
      </c>
      <c r="C70" s="16" t="s">
        <v>420</v>
      </c>
      <c r="D70" s="17" t="s">
        <v>213</v>
      </c>
      <c r="E70" s="18" t="s">
        <v>103</v>
      </c>
      <c r="F70" s="18" t="s">
        <v>4</v>
      </c>
      <c r="G70" s="19" t="s">
        <v>5</v>
      </c>
      <c r="H70" s="19" t="str">
        <f t="shared" si="5"/>
        <v>PKWTTP</v>
      </c>
      <c r="I70" s="20">
        <v>26968</v>
      </c>
      <c r="J70" s="19" t="s">
        <v>176</v>
      </c>
      <c r="K70" s="18" t="s">
        <v>7</v>
      </c>
      <c r="L70" s="20">
        <v>36382</v>
      </c>
      <c r="M70" s="20" t="str">
        <f t="shared" si="8"/>
        <v>10/08/1999</v>
      </c>
      <c r="N70" s="21">
        <f t="shared" si="9"/>
        <v>47057</v>
      </c>
      <c r="O70" s="22" t="s">
        <v>214</v>
      </c>
      <c r="P70" s="23" t="s">
        <v>215</v>
      </c>
      <c r="Q70" s="14" t="s">
        <v>196</v>
      </c>
      <c r="R70" s="24" t="str">
        <f t="shared" ca="1" si="10"/>
        <v>26 Tahun 7 Bulan 8 Hari</v>
      </c>
    </row>
    <row r="71" spans="1:18" s="25" customFormat="1" ht="40.5" customHeight="1" x14ac:dyDescent="0.5">
      <c r="A71" s="14">
        <v>65</v>
      </c>
      <c r="B71" s="40" t="s">
        <v>203</v>
      </c>
      <c r="C71" s="16" t="s">
        <v>425</v>
      </c>
      <c r="D71" s="41" t="s">
        <v>216</v>
      </c>
      <c r="E71" s="18" t="s">
        <v>3</v>
      </c>
      <c r="F71" s="18" t="s">
        <v>4</v>
      </c>
      <c r="G71" s="19" t="s">
        <v>5</v>
      </c>
      <c r="H71" s="19" t="str">
        <f t="shared" si="5"/>
        <v>PKWTTP</v>
      </c>
      <c r="I71" s="20">
        <v>34731</v>
      </c>
      <c r="J71" s="19" t="s">
        <v>176</v>
      </c>
      <c r="K71" s="18" t="s">
        <v>50</v>
      </c>
      <c r="L71" s="20">
        <v>45392</v>
      </c>
      <c r="M71" s="20" t="str">
        <f>TEXT(I71,"dd/mm/yyyy")</f>
        <v>01/02/1995</v>
      </c>
      <c r="N71" s="21">
        <f>EDATE(I14,55*12)</f>
        <v>47982</v>
      </c>
      <c r="O71" s="22" t="s">
        <v>217</v>
      </c>
      <c r="P71" s="23" t="s">
        <v>218</v>
      </c>
      <c r="Q71" s="14" t="s">
        <v>196</v>
      </c>
      <c r="R71" s="24" t="str">
        <f t="shared" ca="1" si="10"/>
        <v>1 Tahun 11 Bulan 8 Hari</v>
      </c>
    </row>
    <row r="72" spans="1:18" s="25" customFormat="1" ht="40.5" customHeight="1" x14ac:dyDescent="0.5">
      <c r="A72" s="14">
        <v>66</v>
      </c>
      <c r="B72" s="15">
        <v>9608006</v>
      </c>
      <c r="C72" s="16" t="s">
        <v>426</v>
      </c>
      <c r="D72" s="41" t="s">
        <v>219</v>
      </c>
      <c r="E72" s="18" t="s">
        <v>3</v>
      </c>
      <c r="F72" s="18" t="s">
        <v>27</v>
      </c>
      <c r="G72" s="19" t="s">
        <v>32</v>
      </c>
      <c r="H72" s="19" t="str">
        <f t="shared" si="5"/>
        <v>PKWTL</v>
      </c>
      <c r="I72" s="20">
        <v>36983</v>
      </c>
      <c r="J72" s="19" t="s">
        <v>176</v>
      </c>
      <c r="K72" s="18" t="s">
        <v>50</v>
      </c>
      <c r="L72" s="20">
        <v>45448</v>
      </c>
      <c r="M72" s="20" t="str">
        <f t="shared" ref="M72:M99" si="11">TEXT(L72,"dd/mm/yyyy")</f>
        <v>05/06/2024</v>
      </c>
      <c r="N72" s="21">
        <v>46271</v>
      </c>
      <c r="O72" s="22" t="s">
        <v>73</v>
      </c>
      <c r="P72" s="23" t="s">
        <v>220</v>
      </c>
      <c r="Q72" s="14" t="s">
        <v>196</v>
      </c>
      <c r="R72" s="24" t="str">
        <f t="shared" ca="1" si="10"/>
        <v>1 Tahun 9 Bulan 13 Hari</v>
      </c>
    </row>
    <row r="73" spans="1:18" s="25" customFormat="1" ht="40.5" customHeight="1" x14ac:dyDescent="0.5">
      <c r="A73" s="14">
        <v>67</v>
      </c>
      <c r="B73" s="15">
        <v>1612317</v>
      </c>
      <c r="C73" s="16" t="s">
        <v>364</v>
      </c>
      <c r="D73" s="17" t="s">
        <v>221</v>
      </c>
      <c r="E73" s="18" t="s">
        <v>3</v>
      </c>
      <c r="F73" s="18" t="s">
        <v>4</v>
      </c>
      <c r="G73" s="19" t="s">
        <v>5</v>
      </c>
      <c r="H73" s="19" t="str">
        <f t="shared" si="5"/>
        <v>PKWTTP</v>
      </c>
      <c r="I73" s="20">
        <v>26710</v>
      </c>
      <c r="J73" s="19" t="s">
        <v>13</v>
      </c>
      <c r="K73" s="18" t="s">
        <v>7</v>
      </c>
      <c r="L73" s="20">
        <v>35864</v>
      </c>
      <c r="M73" s="20" t="str">
        <f t="shared" si="11"/>
        <v>10/03/1998</v>
      </c>
      <c r="N73" s="21">
        <f t="shared" ref="N73:N80" si="12">EDATE(I73,55*12)</f>
        <v>46798</v>
      </c>
      <c r="O73" s="22" t="s">
        <v>222</v>
      </c>
      <c r="P73" s="23" t="s">
        <v>223</v>
      </c>
      <c r="Q73" s="14" t="s">
        <v>223</v>
      </c>
      <c r="R73" s="24" t="str">
        <f t="shared" ca="1" si="10"/>
        <v>28 Tahun 0 Bulan 8 Hari</v>
      </c>
    </row>
    <row r="74" spans="1:18" s="25" customFormat="1" ht="40.5" customHeight="1" x14ac:dyDescent="0.5">
      <c r="A74" s="14">
        <v>68</v>
      </c>
      <c r="B74" s="15">
        <v>9908079</v>
      </c>
      <c r="C74" s="16" t="s">
        <v>400</v>
      </c>
      <c r="D74" s="17" t="s">
        <v>224</v>
      </c>
      <c r="E74" s="18" t="s">
        <v>3</v>
      </c>
      <c r="F74" s="18" t="s">
        <v>4</v>
      </c>
      <c r="G74" s="19" t="s">
        <v>32</v>
      </c>
      <c r="H74" s="19" t="str">
        <f t="shared" si="5"/>
        <v>PKWTTL</v>
      </c>
      <c r="I74" s="20">
        <v>27053</v>
      </c>
      <c r="J74" s="19" t="s">
        <v>33</v>
      </c>
      <c r="K74" s="18" t="s">
        <v>7</v>
      </c>
      <c r="L74" s="20">
        <v>34344</v>
      </c>
      <c r="M74" s="20" t="str">
        <f t="shared" si="11"/>
        <v>10/01/1994</v>
      </c>
      <c r="N74" s="21">
        <f t="shared" si="12"/>
        <v>47142</v>
      </c>
      <c r="O74" s="22" t="s">
        <v>157</v>
      </c>
      <c r="P74" s="23" t="s">
        <v>223</v>
      </c>
      <c r="Q74" s="14" t="s">
        <v>223</v>
      </c>
      <c r="R74" s="24" t="str">
        <f t="shared" ca="1" si="10"/>
        <v>32 Tahun 2 Bulan 8 Hari</v>
      </c>
    </row>
    <row r="75" spans="1:18" s="25" customFormat="1" ht="40.5" customHeight="1" x14ac:dyDescent="0.5">
      <c r="A75" s="14">
        <v>69</v>
      </c>
      <c r="B75" s="15">
        <v>2406524</v>
      </c>
      <c r="C75" s="16" t="s">
        <v>402</v>
      </c>
      <c r="D75" s="17" t="s">
        <v>225</v>
      </c>
      <c r="E75" s="18" t="s">
        <v>3</v>
      </c>
      <c r="F75" s="18" t="s">
        <v>4</v>
      </c>
      <c r="G75" s="19" t="s">
        <v>5</v>
      </c>
      <c r="H75" s="19" t="str">
        <f t="shared" si="5"/>
        <v>PKWTTP</v>
      </c>
      <c r="I75" s="20">
        <v>27810</v>
      </c>
      <c r="J75" s="19" t="s">
        <v>17</v>
      </c>
      <c r="K75" s="18" t="s">
        <v>7</v>
      </c>
      <c r="L75" s="20">
        <v>36078</v>
      </c>
      <c r="M75" s="20" t="str">
        <f t="shared" si="11"/>
        <v>10/10/1998</v>
      </c>
      <c r="N75" s="21">
        <f t="shared" si="12"/>
        <v>47899</v>
      </c>
      <c r="O75" s="22" t="s">
        <v>226</v>
      </c>
      <c r="P75" s="23" t="s">
        <v>223</v>
      </c>
      <c r="Q75" s="14" t="s">
        <v>223</v>
      </c>
      <c r="R75" s="24" t="str">
        <f t="shared" ca="1" si="10"/>
        <v>27 Tahun 5 Bulan 8 Hari</v>
      </c>
    </row>
    <row r="76" spans="1:18" s="25" customFormat="1" ht="40.5" customHeight="1" x14ac:dyDescent="0.5">
      <c r="A76" s="14">
        <v>70</v>
      </c>
      <c r="B76" s="15">
        <v>2406525</v>
      </c>
      <c r="C76" s="16" t="s">
        <v>431</v>
      </c>
      <c r="D76" s="41" t="s">
        <v>227</v>
      </c>
      <c r="E76" s="18" t="s">
        <v>3</v>
      </c>
      <c r="F76" s="18" t="s">
        <v>4</v>
      </c>
      <c r="G76" s="19" t="s">
        <v>32</v>
      </c>
      <c r="H76" s="19" t="str">
        <f t="shared" si="5"/>
        <v>PKWTTL</v>
      </c>
      <c r="I76" s="20">
        <v>27248</v>
      </c>
      <c r="J76" s="19" t="s">
        <v>13</v>
      </c>
      <c r="K76" s="18" t="s">
        <v>7</v>
      </c>
      <c r="L76" s="20">
        <v>34344</v>
      </c>
      <c r="M76" s="20" t="str">
        <f t="shared" si="11"/>
        <v>10/01/1994</v>
      </c>
      <c r="N76" s="21">
        <f t="shared" si="12"/>
        <v>47337</v>
      </c>
      <c r="O76" s="22" t="s">
        <v>228</v>
      </c>
      <c r="P76" s="23" t="s">
        <v>223</v>
      </c>
      <c r="Q76" s="14" t="s">
        <v>223</v>
      </c>
      <c r="R76" s="24" t="str">
        <f t="shared" ca="1" si="10"/>
        <v>32 Tahun 2 Bulan 8 Hari</v>
      </c>
    </row>
    <row r="77" spans="1:18" s="25" customFormat="1" ht="40.5" customHeight="1" x14ac:dyDescent="0.5">
      <c r="A77" s="14">
        <v>71</v>
      </c>
      <c r="B77" s="15">
        <v>9803028</v>
      </c>
      <c r="C77" s="16" t="s">
        <v>384</v>
      </c>
      <c r="D77" s="17" t="s">
        <v>229</v>
      </c>
      <c r="E77" s="18" t="s">
        <v>3</v>
      </c>
      <c r="F77" s="18" t="s">
        <v>4</v>
      </c>
      <c r="G77" s="19" t="s">
        <v>5</v>
      </c>
      <c r="H77" s="19" t="str">
        <f t="shared" si="5"/>
        <v>PKWTTP</v>
      </c>
      <c r="I77" s="20">
        <v>28006</v>
      </c>
      <c r="J77" s="19" t="s">
        <v>33</v>
      </c>
      <c r="K77" s="18" t="s">
        <v>7</v>
      </c>
      <c r="L77" s="20">
        <v>35704</v>
      </c>
      <c r="M77" s="20" t="str">
        <f t="shared" si="11"/>
        <v>01/10/1997</v>
      </c>
      <c r="N77" s="21">
        <f t="shared" si="12"/>
        <v>48094</v>
      </c>
      <c r="O77" s="22" t="s">
        <v>230</v>
      </c>
      <c r="P77" s="23" t="s">
        <v>223</v>
      </c>
      <c r="Q77" s="14" t="s">
        <v>223</v>
      </c>
      <c r="R77" s="24" t="str">
        <f t="shared" ca="1" si="10"/>
        <v>28 Tahun 5 Bulan 17 Hari</v>
      </c>
    </row>
    <row r="78" spans="1:18" s="25" customFormat="1" ht="40.5" customHeight="1" x14ac:dyDescent="0.5">
      <c r="A78" s="14">
        <v>72</v>
      </c>
      <c r="B78" s="15">
        <v>9410002</v>
      </c>
      <c r="C78" s="16" t="s">
        <v>386</v>
      </c>
      <c r="D78" s="17" t="s">
        <v>231</v>
      </c>
      <c r="E78" s="18" t="s">
        <v>3</v>
      </c>
      <c r="F78" s="18" t="s">
        <v>4</v>
      </c>
      <c r="G78" s="19" t="s">
        <v>32</v>
      </c>
      <c r="H78" s="19" t="str">
        <f t="shared" si="5"/>
        <v>PKWTTL</v>
      </c>
      <c r="I78" s="20">
        <v>26204</v>
      </c>
      <c r="J78" s="19" t="s">
        <v>33</v>
      </c>
      <c r="K78" s="18" t="s">
        <v>7</v>
      </c>
      <c r="L78" s="20">
        <v>33887</v>
      </c>
      <c r="M78" s="20" t="str">
        <f t="shared" si="11"/>
        <v>10/10/1992</v>
      </c>
      <c r="N78" s="21">
        <f t="shared" si="12"/>
        <v>46293</v>
      </c>
      <c r="O78" s="22" t="s">
        <v>232</v>
      </c>
      <c r="P78" s="23" t="s">
        <v>223</v>
      </c>
      <c r="Q78" s="14" t="s">
        <v>223</v>
      </c>
      <c r="R78" s="24" t="str">
        <f t="shared" ca="1" si="10"/>
        <v>33 Tahun 5 Bulan 8 Hari</v>
      </c>
    </row>
    <row r="79" spans="1:18" s="25" customFormat="1" ht="40.5" customHeight="1" x14ac:dyDescent="0.5">
      <c r="A79" s="14">
        <v>73</v>
      </c>
      <c r="B79" s="15">
        <v>9810058</v>
      </c>
      <c r="C79" s="16" t="s">
        <v>431</v>
      </c>
      <c r="D79" s="17" t="s">
        <v>234</v>
      </c>
      <c r="E79" s="18" t="s">
        <v>3</v>
      </c>
      <c r="F79" s="18" t="s">
        <v>4</v>
      </c>
      <c r="G79" s="19" t="s">
        <v>32</v>
      </c>
      <c r="H79" s="19" t="str">
        <f t="shared" si="5"/>
        <v>PKWTTL</v>
      </c>
      <c r="I79" s="20">
        <v>28142</v>
      </c>
      <c r="J79" s="19" t="s">
        <v>33</v>
      </c>
      <c r="K79" s="18" t="s">
        <v>7</v>
      </c>
      <c r="L79" s="20">
        <v>36743</v>
      </c>
      <c r="M79" s="20" t="str">
        <f t="shared" si="11"/>
        <v>05/08/2000</v>
      </c>
      <c r="N79" s="21">
        <f t="shared" si="12"/>
        <v>48230</v>
      </c>
      <c r="O79" s="22" t="s">
        <v>51</v>
      </c>
      <c r="P79" s="23" t="s">
        <v>223</v>
      </c>
      <c r="Q79" s="14" t="s">
        <v>223</v>
      </c>
      <c r="R79" s="24" t="str">
        <f t="shared" ca="1" si="10"/>
        <v>25 Tahun 7 Bulan 13 Hari</v>
      </c>
    </row>
    <row r="80" spans="1:18" s="25" customFormat="1" ht="40.5" customHeight="1" x14ac:dyDescent="0.5">
      <c r="A80" s="14">
        <v>74</v>
      </c>
      <c r="B80" s="15">
        <v>9401004</v>
      </c>
      <c r="C80" s="16" t="s">
        <v>413</v>
      </c>
      <c r="D80" s="17" t="s">
        <v>235</v>
      </c>
      <c r="E80" s="18" t="s">
        <v>3</v>
      </c>
      <c r="F80" s="18" t="s">
        <v>4</v>
      </c>
      <c r="G80" s="19" t="s">
        <v>5</v>
      </c>
      <c r="H80" s="19" t="str">
        <f t="shared" si="5"/>
        <v>PKWTTP</v>
      </c>
      <c r="I80" s="20">
        <v>29954</v>
      </c>
      <c r="J80" s="19" t="s">
        <v>17</v>
      </c>
      <c r="K80" s="18" t="s">
        <v>7</v>
      </c>
      <c r="L80" s="20">
        <v>35588</v>
      </c>
      <c r="M80" s="20" t="str">
        <f t="shared" si="11"/>
        <v>07/06/1997</v>
      </c>
      <c r="N80" s="21">
        <f t="shared" si="12"/>
        <v>50043</v>
      </c>
      <c r="O80" s="22" t="s">
        <v>236</v>
      </c>
      <c r="P80" s="23" t="s">
        <v>223</v>
      </c>
      <c r="Q80" s="14" t="s">
        <v>223</v>
      </c>
      <c r="R80" s="24" t="str">
        <f t="shared" ca="1" si="10"/>
        <v>28 Tahun 9 Bulan 11 Hari</v>
      </c>
    </row>
    <row r="81" spans="1:18" s="25" customFormat="1" ht="40.5" customHeight="1" x14ac:dyDescent="0.5">
      <c r="A81" s="14">
        <v>75</v>
      </c>
      <c r="B81" s="15">
        <v>9710020</v>
      </c>
      <c r="C81" s="28" t="s">
        <v>377</v>
      </c>
      <c r="D81" s="29" t="s">
        <v>237</v>
      </c>
      <c r="E81" s="30" t="s">
        <v>3</v>
      </c>
      <c r="F81" s="30" t="s">
        <v>27</v>
      </c>
      <c r="G81" s="31" t="s">
        <v>32</v>
      </c>
      <c r="H81" s="31" t="str">
        <f t="shared" si="5"/>
        <v>PKWTL</v>
      </c>
      <c r="I81" s="32">
        <v>31948</v>
      </c>
      <c r="J81" s="31" t="s">
        <v>33</v>
      </c>
      <c r="K81" s="30" t="s">
        <v>7</v>
      </c>
      <c r="L81" s="32">
        <v>43437</v>
      </c>
      <c r="M81" s="32" t="str">
        <f t="shared" si="11"/>
        <v>03/12/2018</v>
      </c>
      <c r="N81" s="38">
        <v>46168</v>
      </c>
      <c r="O81" s="33" t="s">
        <v>238</v>
      </c>
      <c r="P81" s="34" t="s">
        <v>9</v>
      </c>
      <c r="Q81" s="26" t="s">
        <v>239</v>
      </c>
      <c r="R81" s="35" t="str">
        <f t="shared" ca="1" si="10"/>
        <v>7 Tahun 3 Bulan 15 Hari</v>
      </c>
    </row>
    <row r="82" spans="1:18" s="25" customFormat="1" ht="40.5" customHeight="1" x14ac:dyDescent="0.5">
      <c r="A82" s="14">
        <v>76</v>
      </c>
      <c r="B82" s="15">
        <v>9210002</v>
      </c>
      <c r="C82" s="28" t="s">
        <v>372</v>
      </c>
      <c r="D82" s="29" t="s">
        <v>240</v>
      </c>
      <c r="E82" s="30" t="s">
        <v>3</v>
      </c>
      <c r="F82" s="30" t="s">
        <v>27</v>
      </c>
      <c r="G82" s="31" t="s">
        <v>5</v>
      </c>
      <c r="H82" s="31" t="str">
        <f t="shared" si="5"/>
        <v>PKWTP</v>
      </c>
      <c r="I82" s="32">
        <v>33674</v>
      </c>
      <c r="J82" s="31" t="s">
        <v>13</v>
      </c>
      <c r="K82" s="30" t="s">
        <v>7</v>
      </c>
      <c r="L82" s="32">
        <v>42902</v>
      </c>
      <c r="M82" s="32" t="str">
        <f t="shared" si="11"/>
        <v>16/06/2017</v>
      </c>
      <c r="N82" s="38">
        <v>46260</v>
      </c>
      <c r="O82" s="33" t="s">
        <v>241</v>
      </c>
      <c r="P82" s="34" t="s">
        <v>9</v>
      </c>
      <c r="Q82" s="26" t="s">
        <v>239</v>
      </c>
      <c r="R82" s="35" t="str">
        <f t="shared" ca="1" si="10"/>
        <v>8 Tahun 9 Bulan 2 Hari</v>
      </c>
    </row>
    <row r="83" spans="1:18" s="25" customFormat="1" ht="40.5" customHeight="1" x14ac:dyDescent="0.5">
      <c r="A83" s="14">
        <v>77</v>
      </c>
      <c r="B83" s="40" t="s">
        <v>233</v>
      </c>
      <c r="C83" s="28" t="s">
        <v>373</v>
      </c>
      <c r="D83" s="29" t="s">
        <v>242</v>
      </c>
      <c r="E83" s="30" t="s">
        <v>3</v>
      </c>
      <c r="F83" s="30" t="s">
        <v>27</v>
      </c>
      <c r="G83" s="31" t="s">
        <v>32</v>
      </c>
      <c r="H83" s="31" t="str">
        <f t="shared" si="5"/>
        <v>PKWTL</v>
      </c>
      <c r="I83" s="32">
        <v>29777</v>
      </c>
      <c r="J83" s="31" t="s">
        <v>13</v>
      </c>
      <c r="K83" s="30" t="s">
        <v>7</v>
      </c>
      <c r="L83" s="32">
        <v>43437</v>
      </c>
      <c r="M83" s="32" t="str">
        <f t="shared" si="11"/>
        <v>03/12/2018</v>
      </c>
      <c r="N83" s="38">
        <v>46199</v>
      </c>
      <c r="O83" s="33" t="s">
        <v>243</v>
      </c>
      <c r="P83" s="34" t="s">
        <v>9</v>
      </c>
      <c r="Q83" s="26" t="s">
        <v>239</v>
      </c>
      <c r="R83" s="35" t="str">
        <f t="shared" ca="1" si="10"/>
        <v>7 Tahun 3 Bulan 15 Hari</v>
      </c>
    </row>
    <row r="84" spans="1:18" s="25" customFormat="1" ht="40.5" customHeight="1" x14ac:dyDescent="0.5">
      <c r="A84" s="14">
        <v>78</v>
      </c>
      <c r="B84" s="15">
        <v>9707017</v>
      </c>
      <c r="C84" s="28" t="s">
        <v>374</v>
      </c>
      <c r="D84" s="47" t="s">
        <v>244</v>
      </c>
      <c r="E84" s="30" t="s">
        <v>3</v>
      </c>
      <c r="F84" s="30" t="s">
        <v>27</v>
      </c>
      <c r="G84" s="31" t="s">
        <v>32</v>
      </c>
      <c r="H84" s="31" t="str">
        <f t="shared" si="5"/>
        <v>PKWTL</v>
      </c>
      <c r="I84" s="32">
        <v>26094</v>
      </c>
      <c r="J84" s="31" t="s">
        <v>13</v>
      </c>
      <c r="K84" s="30" t="s">
        <v>7</v>
      </c>
      <c r="L84" s="32">
        <v>43437</v>
      </c>
      <c r="M84" s="32" t="str">
        <f t="shared" si="11"/>
        <v>03/12/2018</v>
      </c>
      <c r="N84" s="38">
        <v>46291</v>
      </c>
      <c r="O84" s="33" t="s">
        <v>245</v>
      </c>
      <c r="P84" s="34" t="s">
        <v>9</v>
      </c>
      <c r="Q84" s="26" t="s">
        <v>239</v>
      </c>
      <c r="R84" s="35" t="str">
        <f t="shared" ca="1" si="10"/>
        <v>7 Tahun 3 Bulan 15 Hari</v>
      </c>
    </row>
    <row r="85" spans="1:18" s="36" customFormat="1" ht="40.5" customHeight="1" x14ac:dyDescent="0.5">
      <c r="A85" s="26">
        <v>79</v>
      </c>
      <c r="B85" s="27">
        <v>1812330</v>
      </c>
      <c r="C85" s="28" t="s">
        <v>375</v>
      </c>
      <c r="D85" s="29" t="s">
        <v>246</v>
      </c>
      <c r="E85" s="30" t="s">
        <v>3</v>
      </c>
      <c r="F85" s="30" t="s">
        <v>27</v>
      </c>
      <c r="G85" s="31" t="s">
        <v>32</v>
      </c>
      <c r="H85" s="31" t="str">
        <f t="shared" si="5"/>
        <v>PKWTL</v>
      </c>
      <c r="I85" s="32">
        <v>35514</v>
      </c>
      <c r="J85" s="31" t="s">
        <v>33</v>
      </c>
      <c r="K85" s="30" t="s">
        <v>7</v>
      </c>
      <c r="L85" s="32">
        <v>44290</v>
      </c>
      <c r="M85" s="32" t="str">
        <f t="shared" si="11"/>
        <v>04/04/2021</v>
      </c>
      <c r="N85" s="38">
        <v>46229</v>
      </c>
      <c r="O85" s="33" t="s">
        <v>247</v>
      </c>
      <c r="P85" s="34" t="s">
        <v>9</v>
      </c>
      <c r="Q85" s="26" t="s">
        <v>239</v>
      </c>
      <c r="R85" s="35" t="str">
        <f t="shared" ca="1" si="10"/>
        <v>4 Tahun 11 Bulan 14 Hari</v>
      </c>
    </row>
    <row r="86" spans="1:18" s="36" customFormat="1" ht="40.5" customHeight="1" x14ac:dyDescent="0.5">
      <c r="A86" s="26">
        <v>80</v>
      </c>
      <c r="B86" s="27">
        <v>1812334</v>
      </c>
      <c r="C86" s="28" t="s">
        <v>427</v>
      </c>
      <c r="D86" s="29" t="s">
        <v>248</v>
      </c>
      <c r="E86" s="30" t="s">
        <v>3</v>
      </c>
      <c r="F86" s="30" t="s">
        <v>27</v>
      </c>
      <c r="G86" s="31" t="s">
        <v>32</v>
      </c>
      <c r="H86" s="31" t="str">
        <f t="shared" si="5"/>
        <v>PKWTL</v>
      </c>
      <c r="I86" s="32">
        <v>37944</v>
      </c>
      <c r="J86" s="31" t="s">
        <v>13</v>
      </c>
      <c r="K86" s="30" t="s">
        <v>50</v>
      </c>
      <c r="L86" s="32">
        <v>44351</v>
      </c>
      <c r="M86" s="32" t="str">
        <f t="shared" si="11"/>
        <v>04/06/2021</v>
      </c>
      <c r="N86" s="38">
        <v>46138</v>
      </c>
      <c r="O86" s="33" t="s">
        <v>205</v>
      </c>
      <c r="P86" s="34" t="s">
        <v>9</v>
      </c>
      <c r="Q86" s="26" t="s">
        <v>239</v>
      </c>
      <c r="R86" s="35" t="str">
        <f t="shared" ca="1" si="10"/>
        <v>4 Tahun 9 Bulan 14 Hari</v>
      </c>
    </row>
    <row r="87" spans="1:18" s="36" customFormat="1" ht="40.5" customHeight="1" x14ac:dyDescent="0.5">
      <c r="A87" s="26">
        <v>81</v>
      </c>
      <c r="B87" s="27">
        <v>1812337</v>
      </c>
      <c r="C87" s="28" t="s">
        <v>450</v>
      </c>
      <c r="D87" s="47" t="s">
        <v>249</v>
      </c>
      <c r="E87" s="30" t="s">
        <v>3</v>
      </c>
      <c r="F87" s="30" t="s">
        <v>27</v>
      </c>
      <c r="G87" s="31" t="s">
        <v>32</v>
      </c>
      <c r="H87" s="31" t="str">
        <f t="shared" si="5"/>
        <v>PKWTL</v>
      </c>
      <c r="I87" s="32">
        <v>35845</v>
      </c>
      <c r="J87" s="31" t="s">
        <v>176</v>
      </c>
      <c r="K87" s="30" t="s">
        <v>50</v>
      </c>
      <c r="L87" s="32">
        <v>45112</v>
      </c>
      <c r="M87" s="32" t="str">
        <f t="shared" si="11"/>
        <v>05/07/2023</v>
      </c>
      <c r="N87" s="38">
        <v>46351</v>
      </c>
      <c r="O87" s="33" t="s">
        <v>208</v>
      </c>
      <c r="P87" s="34" t="s">
        <v>9</v>
      </c>
      <c r="Q87" s="26" t="s">
        <v>239</v>
      </c>
      <c r="R87" s="35" t="str">
        <f t="shared" ca="1" si="10"/>
        <v>2 Tahun 8 Bulan 13 Hari</v>
      </c>
    </row>
    <row r="88" spans="1:18" s="36" customFormat="1" ht="40.5" customHeight="1" x14ac:dyDescent="0.5">
      <c r="A88" s="26">
        <v>82</v>
      </c>
      <c r="B88" s="27">
        <v>1812375</v>
      </c>
      <c r="C88" s="49" t="s">
        <v>433</v>
      </c>
      <c r="D88" s="47" t="s">
        <v>79</v>
      </c>
      <c r="E88" s="30" t="s">
        <v>3</v>
      </c>
      <c r="F88" s="30" t="s">
        <v>27</v>
      </c>
      <c r="G88" s="31" t="s">
        <v>32</v>
      </c>
      <c r="H88" s="31" t="str">
        <f t="shared" si="5"/>
        <v>PKWTL</v>
      </c>
      <c r="I88" s="32">
        <v>34588</v>
      </c>
      <c r="J88" s="31" t="s">
        <v>28</v>
      </c>
      <c r="K88" s="30" t="s">
        <v>7</v>
      </c>
      <c r="L88" s="32">
        <v>45715</v>
      </c>
      <c r="M88" s="32" t="str">
        <f t="shared" si="11"/>
        <v>27/02/2025</v>
      </c>
      <c r="N88" s="63">
        <v>46191</v>
      </c>
      <c r="O88" s="48" t="s">
        <v>250</v>
      </c>
      <c r="P88" s="34" t="s">
        <v>9</v>
      </c>
      <c r="Q88" s="26" t="s">
        <v>239</v>
      </c>
      <c r="R88" s="35" t="str">
        <f t="shared" ca="1" si="10"/>
        <v>1 Tahun 0 Bulan 19 Hari</v>
      </c>
    </row>
    <row r="89" spans="1:18" s="36" customFormat="1" ht="40.5" customHeight="1" x14ac:dyDescent="0.5">
      <c r="A89" s="26">
        <v>83</v>
      </c>
      <c r="B89" s="27">
        <v>2104476</v>
      </c>
      <c r="C89" s="28" t="s">
        <v>380</v>
      </c>
      <c r="D89" s="29" t="s">
        <v>251</v>
      </c>
      <c r="E89" s="30" t="s">
        <v>3</v>
      </c>
      <c r="F89" s="30" t="s">
        <v>27</v>
      </c>
      <c r="G89" s="31" t="s">
        <v>32</v>
      </c>
      <c r="H89" s="31" t="str">
        <f t="shared" si="5"/>
        <v>PKWTL</v>
      </c>
      <c r="I89" s="32">
        <v>30258</v>
      </c>
      <c r="J89" s="31" t="s">
        <v>33</v>
      </c>
      <c r="K89" s="30" t="s">
        <v>7</v>
      </c>
      <c r="L89" s="32">
        <v>43839</v>
      </c>
      <c r="M89" s="32" t="str">
        <f t="shared" si="11"/>
        <v>09/01/2020</v>
      </c>
      <c r="N89" s="38">
        <v>46392</v>
      </c>
      <c r="O89" s="33" t="s">
        <v>252</v>
      </c>
      <c r="P89" s="34" t="s">
        <v>9</v>
      </c>
      <c r="Q89" s="26" t="s">
        <v>253</v>
      </c>
      <c r="R89" s="35" t="str">
        <f t="shared" ca="1" si="10"/>
        <v>6 Tahun 2 Bulan 9 Hari</v>
      </c>
    </row>
    <row r="90" spans="1:18" s="36" customFormat="1" ht="40.5" customHeight="1" x14ac:dyDescent="0.5">
      <c r="A90" s="26">
        <v>84</v>
      </c>
      <c r="B90" s="27">
        <v>2106477</v>
      </c>
      <c r="C90" s="49" t="s">
        <v>254</v>
      </c>
      <c r="D90" s="74" t="s">
        <v>255</v>
      </c>
      <c r="E90" s="39" t="s">
        <v>3</v>
      </c>
      <c r="F90" s="30" t="s">
        <v>27</v>
      </c>
      <c r="G90" s="75" t="s">
        <v>32</v>
      </c>
      <c r="H90" s="75" t="str">
        <f t="shared" si="5"/>
        <v>PKWTL</v>
      </c>
      <c r="I90" s="38">
        <v>30229</v>
      </c>
      <c r="J90" s="75" t="s">
        <v>13</v>
      </c>
      <c r="K90" s="39" t="s">
        <v>7</v>
      </c>
      <c r="L90" s="38">
        <v>45924</v>
      </c>
      <c r="M90" s="32" t="s">
        <v>256</v>
      </c>
      <c r="N90" s="38">
        <v>46304</v>
      </c>
      <c r="O90" s="48" t="s">
        <v>257</v>
      </c>
      <c r="P90" s="34" t="s">
        <v>9</v>
      </c>
      <c r="Q90" s="26" t="s">
        <v>253</v>
      </c>
      <c r="R90" s="35" t="str">
        <f t="shared" ca="1" si="10"/>
        <v>0 Tahun 5 Bulan 22 Hari</v>
      </c>
    </row>
    <row r="91" spans="1:18" s="36" customFormat="1" ht="40.5" customHeight="1" x14ac:dyDescent="0.5">
      <c r="A91" s="26">
        <v>85</v>
      </c>
      <c r="B91" s="27">
        <v>2306522</v>
      </c>
      <c r="C91" s="49" t="s">
        <v>258</v>
      </c>
      <c r="D91" s="74" t="s">
        <v>259</v>
      </c>
      <c r="E91" s="39" t="s">
        <v>113</v>
      </c>
      <c r="F91" s="30" t="s">
        <v>12</v>
      </c>
      <c r="G91" s="75" t="s">
        <v>32</v>
      </c>
      <c r="H91" s="75" t="str">
        <f t="shared" si="5"/>
        <v>HARIANL</v>
      </c>
      <c r="I91" s="32">
        <v>38293</v>
      </c>
      <c r="J91" s="31" t="s">
        <v>33</v>
      </c>
      <c r="K91" s="30" t="s">
        <v>50</v>
      </c>
      <c r="L91" s="38">
        <v>45924</v>
      </c>
      <c r="M91" s="32" t="str">
        <f t="shared" si="11"/>
        <v>24/09/2025</v>
      </c>
      <c r="N91" s="63" t="s">
        <v>14</v>
      </c>
      <c r="O91" s="48" t="s">
        <v>260</v>
      </c>
      <c r="P91" s="34" t="s">
        <v>9</v>
      </c>
      <c r="Q91" s="34" t="s">
        <v>99</v>
      </c>
      <c r="R91" s="35" t="str">
        <f t="shared" ca="1" si="10"/>
        <v>0 Tahun 5 Bulan 22 Hari</v>
      </c>
    </row>
    <row r="92" spans="1:18" s="36" customFormat="1" ht="40.5" customHeight="1" x14ac:dyDescent="0.5">
      <c r="A92" s="26">
        <v>86</v>
      </c>
      <c r="B92" s="49">
        <v>2506536</v>
      </c>
      <c r="C92" s="49" t="s">
        <v>261</v>
      </c>
      <c r="D92" s="74" t="s">
        <v>262</v>
      </c>
      <c r="E92" s="39" t="s">
        <v>3</v>
      </c>
      <c r="F92" s="30" t="s">
        <v>12</v>
      </c>
      <c r="G92" s="75" t="s">
        <v>32</v>
      </c>
      <c r="H92" s="75" t="str">
        <f t="shared" si="5"/>
        <v>HARIANL</v>
      </c>
      <c r="I92" s="32">
        <v>36833</v>
      </c>
      <c r="J92" s="31" t="s">
        <v>33</v>
      </c>
      <c r="K92" s="30" t="s">
        <v>7</v>
      </c>
      <c r="L92" s="38">
        <v>45985</v>
      </c>
      <c r="M92" s="32" t="str">
        <f t="shared" si="11"/>
        <v>24/11/2025</v>
      </c>
      <c r="N92" s="63" t="s">
        <v>14</v>
      </c>
      <c r="O92" s="48" t="s">
        <v>263</v>
      </c>
      <c r="P92" s="34" t="s">
        <v>9</v>
      </c>
      <c r="Q92" s="34" t="s">
        <v>99</v>
      </c>
      <c r="R92" s="35" t="str">
        <f t="shared" ca="1" si="10"/>
        <v>0 Tahun 3 Bulan 22 Hari</v>
      </c>
    </row>
    <row r="93" spans="1:18" s="65" customFormat="1" ht="40.5" customHeight="1" x14ac:dyDescent="0.5">
      <c r="A93" s="26">
        <v>87</v>
      </c>
      <c r="B93" s="27">
        <v>2011414</v>
      </c>
      <c r="C93" s="49" t="s">
        <v>264</v>
      </c>
      <c r="D93" s="74" t="s">
        <v>265</v>
      </c>
      <c r="E93" s="39" t="s">
        <v>3</v>
      </c>
      <c r="F93" s="30" t="s">
        <v>12</v>
      </c>
      <c r="G93" s="75" t="s">
        <v>5</v>
      </c>
      <c r="H93" s="75" t="str">
        <f t="shared" si="5"/>
        <v>HARIANP</v>
      </c>
      <c r="I93" s="38" t="s">
        <v>266</v>
      </c>
      <c r="J93" s="31" t="s">
        <v>33</v>
      </c>
      <c r="K93" s="30" t="s">
        <v>7</v>
      </c>
      <c r="L93" s="38">
        <v>45929</v>
      </c>
      <c r="M93" s="32">
        <f>L93</f>
        <v>45929</v>
      </c>
      <c r="N93" s="38">
        <v>46027</v>
      </c>
      <c r="O93" s="48" t="s">
        <v>267</v>
      </c>
      <c r="P93" s="34" t="s">
        <v>9</v>
      </c>
      <c r="Q93" s="34" t="s">
        <v>99</v>
      </c>
      <c r="R93" s="35" t="str">
        <f t="shared" ca="1" si="10"/>
        <v>0 Tahun 5 Bulan 17 Hari</v>
      </c>
    </row>
    <row r="94" spans="1:18" s="36" customFormat="1" ht="40.5" customHeight="1" x14ac:dyDescent="0.5">
      <c r="A94" s="26">
        <v>88</v>
      </c>
      <c r="B94" s="48">
        <v>2601550</v>
      </c>
      <c r="C94" s="49" t="s">
        <v>268</v>
      </c>
      <c r="D94" s="74" t="s">
        <v>269</v>
      </c>
      <c r="E94" s="39" t="s">
        <v>3</v>
      </c>
      <c r="F94" s="30" t="s">
        <v>12</v>
      </c>
      <c r="G94" s="75" t="s">
        <v>32</v>
      </c>
      <c r="H94" s="75" t="str">
        <f t="shared" si="5"/>
        <v>HARIANL</v>
      </c>
      <c r="I94" s="38" t="s">
        <v>270</v>
      </c>
      <c r="J94" s="31" t="s">
        <v>33</v>
      </c>
      <c r="K94" s="30" t="s">
        <v>7</v>
      </c>
      <c r="L94" s="38">
        <v>45985</v>
      </c>
      <c r="M94" s="32">
        <f>L94</f>
        <v>45985</v>
      </c>
      <c r="N94" s="63" t="s">
        <v>14</v>
      </c>
      <c r="O94" s="48" t="s">
        <v>271</v>
      </c>
      <c r="P94" s="34" t="s">
        <v>9</v>
      </c>
      <c r="Q94" s="34" t="s">
        <v>99</v>
      </c>
      <c r="R94" s="35" t="str">
        <f t="shared" ca="1" si="10"/>
        <v>0 Tahun 3 Bulan 22 Hari</v>
      </c>
    </row>
    <row r="95" spans="1:18" s="36" customFormat="1" ht="40.5" customHeight="1" x14ac:dyDescent="0.5">
      <c r="A95" s="26">
        <v>89</v>
      </c>
      <c r="B95" s="28" t="s">
        <v>12</v>
      </c>
      <c r="C95" s="28" t="s">
        <v>381</v>
      </c>
      <c r="D95" s="29" t="s">
        <v>272</v>
      </c>
      <c r="E95" s="30" t="s">
        <v>3</v>
      </c>
      <c r="F95" s="30" t="s">
        <v>12</v>
      </c>
      <c r="G95" s="31" t="s">
        <v>5</v>
      </c>
      <c r="H95" s="31" t="str">
        <f t="shared" si="5"/>
        <v>HARIANP</v>
      </c>
      <c r="I95" s="32">
        <v>37020</v>
      </c>
      <c r="J95" s="31" t="s">
        <v>13</v>
      </c>
      <c r="K95" s="30" t="s">
        <v>7</v>
      </c>
      <c r="L95" s="32">
        <v>45926</v>
      </c>
      <c r="M95" s="32" t="str">
        <f t="shared" si="11"/>
        <v>26/09/2025</v>
      </c>
      <c r="N95" s="32" t="s">
        <v>273</v>
      </c>
      <c r="O95" s="33" t="s">
        <v>274</v>
      </c>
      <c r="P95" s="34" t="s">
        <v>9</v>
      </c>
      <c r="Q95" s="34" t="s">
        <v>35</v>
      </c>
      <c r="R95" s="35" t="str">
        <f t="shared" ca="1" si="10"/>
        <v>0 Tahun 5 Bulan 20 Hari</v>
      </c>
    </row>
    <row r="96" spans="1:18" s="36" customFormat="1" ht="40.5" customHeight="1" x14ac:dyDescent="0.5">
      <c r="A96" s="26">
        <v>90</v>
      </c>
      <c r="B96" s="28" t="s">
        <v>12</v>
      </c>
      <c r="C96" s="28" t="s">
        <v>275</v>
      </c>
      <c r="D96" s="29" t="s">
        <v>276</v>
      </c>
      <c r="E96" s="30" t="s">
        <v>3</v>
      </c>
      <c r="F96" s="30" t="s">
        <v>27</v>
      </c>
      <c r="G96" s="31" t="s">
        <v>5</v>
      </c>
      <c r="H96" s="31" t="str">
        <f t="shared" si="5"/>
        <v>PKWTP</v>
      </c>
      <c r="I96" s="32">
        <v>30813</v>
      </c>
      <c r="J96" s="31" t="s">
        <v>13</v>
      </c>
      <c r="K96" s="30" t="s">
        <v>7</v>
      </c>
      <c r="L96" s="32">
        <v>45926</v>
      </c>
      <c r="M96" s="32" t="str">
        <f t="shared" si="11"/>
        <v>26/09/2025</v>
      </c>
      <c r="N96" s="38">
        <v>46027</v>
      </c>
      <c r="O96" s="33" t="s">
        <v>277</v>
      </c>
      <c r="P96" s="34" t="s">
        <v>9</v>
      </c>
      <c r="Q96" s="39" t="s">
        <v>58</v>
      </c>
      <c r="R96" s="35" t="str">
        <f t="shared" ca="1" si="10"/>
        <v>0 Tahun 5 Bulan 20 Hari</v>
      </c>
    </row>
    <row r="97" spans="1:18" s="36" customFormat="1" ht="40.5" customHeight="1" x14ac:dyDescent="0.5">
      <c r="A97" s="26">
        <v>91</v>
      </c>
      <c r="B97" s="28" t="s">
        <v>12</v>
      </c>
      <c r="C97" s="28" t="s">
        <v>405</v>
      </c>
      <c r="D97" s="29" t="s">
        <v>278</v>
      </c>
      <c r="E97" s="30" t="s">
        <v>3</v>
      </c>
      <c r="F97" s="30" t="s">
        <v>27</v>
      </c>
      <c r="G97" s="31" t="s">
        <v>5</v>
      </c>
      <c r="H97" s="31" t="str">
        <f t="shared" si="5"/>
        <v>PKWTP</v>
      </c>
      <c r="I97" s="32">
        <v>33136</v>
      </c>
      <c r="J97" s="31" t="s">
        <v>33</v>
      </c>
      <c r="K97" s="30" t="s">
        <v>7</v>
      </c>
      <c r="L97" s="32">
        <v>45926</v>
      </c>
      <c r="M97" s="32" t="str">
        <f t="shared" si="11"/>
        <v>26/09/2025</v>
      </c>
      <c r="N97" s="38">
        <v>46027</v>
      </c>
      <c r="O97" s="33" t="s">
        <v>279</v>
      </c>
      <c r="P97" s="34" t="s">
        <v>9</v>
      </c>
      <c r="Q97" s="39" t="s">
        <v>58</v>
      </c>
      <c r="R97" s="35" t="str">
        <f t="shared" ca="1" si="10"/>
        <v>0 Tahun 5 Bulan 20 Hari</v>
      </c>
    </row>
    <row r="98" spans="1:18" s="36" customFormat="1" ht="40.5" customHeight="1" x14ac:dyDescent="0.5">
      <c r="A98" s="26">
        <v>92</v>
      </c>
      <c r="B98" s="28" t="s">
        <v>12</v>
      </c>
      <c r="C98" s="28" t="s">
        <v>390</v>
      </c>
      <c r="D98" s="29" t="s">
        <v>280</v>
      </c>
      <c r="E98" s="30" t="s">
        <v>3</v>
      </c>
      <c r="F98" s="30" t="s">
        <v>27</v>
      </c>
      <c r="G98" s="31" t="s">
        <v>32</v>
      </c>
      <c r="H98" s="31" t="str">
        <f t="shared" si="5"/>
        <v>PKWTL</v>
      </c>
      <c r="I98" s="32">
        <v>31957</v>
      </c>
      <c r="J98" s="31" t="s">
        <v>13</v>
      </c>
      <c r="K98" s="30" t="s">
        <v>7</v>
      </c>
      <c r="L98" s="32">
        <v>45926</v>
      </c>
      <c r="M98" s="32" t="str">
        <f t="shared" si="11"/>
        <v>26/09/2025</v>
      </c>
      <c r="N98" s="38">
        <v>46027</v>
      </c>
      <c r="O98" s="33" t="s">
        <v>281</v>
      </c>
      <c r="P98" s="34" t="s">
        <v>9</v>
      </c>
      <c r="Q98" s="39" t="s">
        <v>58</v>
      </c>
      <c r="R98" s="35" t="str">
        <f t="shared" ca="1" si="10"/>
        <v>0 Tahun 5 Bulan 20 Hari</v>
      </c>
    </row>
    <row r="99" spans="1:18" s="36" customFormat="1" ht="40.5" customHeight="1" x14ac:dyDescent="0.5">
      <c r="A99" s="26">
        <v>93</v>
      </c>
      <c r="B99" s="27">
        <v>2601575</v>
      </c>
      <c r="C99" s="28" t="s">
        <v>416</v>
      </c>
      <c r="D99" s="29" t="s">
        <v>282</v>
      </c>
      <c r="E99" s="30" t="s">
        <v>3</v>
      </c>
      <c r="F99" s="30" t="s">
        <v>27</v>
      </c>
      <c r="G99" s="31" t="s">
        <v>5</v>
      </c>
      <c r="H99" s="31" t="str">
        <f t="shared" si="5"/>
        <v>PKWTP</v>
      </c>
      <c r="I99" s="32">
        <v>30218</v>
      </c>
      <c r="J99" s="31" t="s">
        <v>13</v>
      </c>
      <c r="K99" s="30" t="s">
        <v>7</v>
      </c>
      <c r="L99" s="32">
        <v>45926</v>
      </c>
      <c r="M99" s="32" t="str">
        <f t="shared" si="11"/>
        <v>26/09/2025</v>
      </c>
      <c r="N99" s="38">
        <v>46027</v>
      </c>
      <c r="O99" s="33" t="s">
        <v>283</v>
      </c>
      <c r="P99" s="34" t="s">
        <v>9</v>
      </c>
      <c r="Q99" s="39" t="s">
        <v>58</v>
      </c>
      <c r="R99" s="35" t="str">
        <f t="shared" ref="R99:R121" ca="1" si="13">DATEDIF(L99, TODAY(), "Y") &amp; " Tahun " &amp; DATEDIF(L99, TODAY(), "YM") &amp; " Bulan " &amp; DATEDIF(L99, TODAY(), "MD") &amp; " Hari"</f>
        <v>0 Tahun 5 Bulan 20 Hari</v>
      </c>
    </row>
    <row r="100" spans="1:18" s="36" customFormat="1" ht="40.5" customHeight="1" x14ac:dyDescent="0.5">
      <c r="A100" s="26">
        <v>94</v>
      </c>
      <c r="B100" s="27">
        <v>2601569</v>
      </c>
      <c r="C100" s="28" t="s">
        <v>284</v>
      </c>
      <c r="D100" s="47" t="s">
        <v>285</v>
      </c>
      <c r="E100" s="30" t="s">
        <v>113</v>
      </c>
      <c r="F100" s="30" t="s">
        <v>27</v>
      </c>
      <c r="G100" s="31" t="s">
        <v>5</v>
      </c>
      <c r="H100" s="31" t="str">
        <f t="shared" si="5"/>
        <v>PKWTP</v>
      </c>
      <c r="I100" s="32">
        <v>37824</v>
      </c>
      <c r="J100" s="31" t="s">
        <v>13</v>
      </c>
      <c r="K100" s="30" t="s">
        <v>50</v>
      </c>
      <c r="L100" s="32">
        <v>45877</v>
      </c>
      <c r="M100" s="32" t="str">
        <f>TEXT(L100,"dd/mm/yyyy")</f>
        <v>08/08/2025</v>
      </c>
      <c r="N100" s="38">
        <v>46027</v>
      </c>
      <c r="O100" s="33" t="s">
        <v>286</v>
      </c>
      <c r="P100" s="34" t="s">
        <v>9</v>
      </c>
      <c r="Q100" s="34" t="s">
        <v>99</v>
      </c>
      <c r="R100" s="35" t="str">
        <f t="shared" ca="1" si="13"/>
        <v>0 Tahun 7 Bulan 10 Hari</v>
      </c>
    </row>
    <row r="101" spans="1:18" s="36" customFormat="1" ht="40.5" customHeight="1" x14ac:dyDescent="0.5">
      <c r="A101" s="26">
        <v>95</v>
      </c>
      <c r="B101" s="27">
        <v>2601570</v>
      </c>
      <c r="C101" s="28" t="s">
        <v>430</v>
      </c>
      <c r="D101" s="47" t="s">
        <v>287</v>
      </c>
      <c r="E101" s="30" t="s">
        <v>3</v>
      </c>
      <c r="F101" s="30" t="s">
        <v>27</v>
      </c>
      <c r="G101" s="31" t="s">
        <v>5</v>
      </c>
      <c r="H101" s="31" t="str">
        <f t="shared" ref="H101:H107" si="14">F101&amp;G101</f>
        <v>PKWTP</v>
      </c>
      <c r="I101" s="32" t="s">
        <v>288</v>
      </c>
      <c r="J101" s="31" t="s">
        <v>13</v>
      </c>
      <c r="K101" s="30" t="s">
        <v>50</v>
      </c>
      <c r="L101" s="32">
        <v>45776</v>
      </c>
      <c r="M101" s="32">
        <v>45776</v>
      </c>
      <c r="N101" s="38">
        <v>46027</v>
      </c>
      <c r="O101" s="33" t="s">
        <v>289</v>
      </c>
      <c r="P101" s="34" t="s">
        <v>9</v>
      </c>
      <c r="Q101" s="39" t="s">
        <v>58</v>
      </c>
      <c r="R101" s="35" t="str">
        <f t="shared" ca="1" si="13"/>
        <v>0 Tahun 10 Bulan 17 Hari</v>
      </c>
    </row>
    <row r="102" spans="1:18" s="36" customFormat="1" ht="40.5" customHeight="1" x14ac:dyDescent="0.5">
      <c r="A102" s="26">
        <v>96</v>
      </c>
      <c r="B102" s="27">
        <v>2601567</v>
      </c>
      <c r="C102" s="28" t="s">
        <v>290</v>
      </c>
      <c r="D102" s="47" t="s">
        <v>291</v>
      </c>
      <c r="E102" s="30" t="s">
        <v>3</v>
      </c>
      <c r="F102" s="30" t="s">
        <v>27</v>
      </c>
      <c r="G102" s="31" t="s">
        <v>5</v>
      </c>
      <c r="H102" s="31" t="str">
        <f t="shared" si="14"/>
        <v>PKWTP</v>
      </c>
      <c r="I102" s="32">
        <v>38848</v>
      </c>
      <c r="J102" s="31" t="s">
        <v>13</v>
      </c>
      <c r="K102" s="30" t="s">
        <v>50</v>
      </c>
      <c r="L102" s="32">
        <v>45866</v>
      </c>
      <c r="M102" s="32">
        <v>45866</v>
      </c>
      <c r="N102" s="38">
        <v>46027</v>
      </c>
      <c r="O102" s="48" t="s">
        <v>292</v>
      </c>
      <c r="P102" s="34" t="s">
        <v>9</v>
      </c>
      <c r="Q102" s="39" t="s">
        <v>58</v>
      </c>
      <c r="R102" s="35" t="str">
        <f t="shared" ca="1" si="13"/>
        <v>0 Tahun 7 Bulan 18 Hari</v>
      </c>
    </row>
    <row r="103" spans="1:18" s="36" customFormat="1" ht="40.5" customHeight="1" x14ac:dyDescent="0.5">
      <c r="A103" s="26">
        <v>97</v>
      </c>
      <c r="B103" s="27">
        <v>2601567</v>
      </c>
      <c r="C103" s="28" t="s">
        <v>293</v>
      </c>
      <c r="D103" s="47" t="s">
        <v>294</v>
      </c>
      <c r="E103" s="30" t="s">
        <v>3</v>
      </c>
      <c r="F103" s="30" t="s">
        <v>27</v>
      </c>
      <c r="G103" s="31" t="s">
        <v>32</v>
      </c>
      <c r="H103" s="31" t="str">
        <f t="shared" si="14"/>
        <v>PKWTL</v>
      </c>
      <c r="I103" s="32" t="s">
        <v>295</v>
      </c>
      <c r="J103" s="31" t="s">
        <v>13</v>
      </c>
      <c r="K103" s="30" t="s">
        <v>50</v>
      </c>
      <c r="L103" s="32">
        <v>45866</v>
      </c>
      <c r="M103" s="32">
        <v>45866</v>
      </c>
      <c r="N103" s="38">
        <v>46027</v>
      </c>
      <c r="O103" s="33" t="s">
        <v>296</v>
      </c>
      <c r="P103" s="34" t="s">
        <v>9</v>
      </c>
      <c r="Q103" s="39" t="s">
        <v>58</v>
      </c>
      <c r="R103" s="35" t="str">
        <f t="shared" ca="1" si="13"/>
        <v>0 Tahun 7 Bulan 18 Hari</v>
      </c>
    </row>
    <row r="104" spans="1:18" s="65" customFormat="1" ht="40.5" customHeight="1" x14ac:dyDescent="0.5">
      <c r="A104" s="26">
        <v>98</v>
      </c>
      <c r="B104" s="27">
        <v>2601553</v>
      </c>
      <c r="C104" s="28" t="s">
        <v>365</v>
      </c>
      <c r="D104" s="47" t="s">
        <v>297</v>
      </c>
      <c r="E104" s="30" t="s">
        <v>3</v>
      </c>
      <c r="F104" s="30" t="s">
        <v>12</v>
      </c>
      <c r="G104" s="31" t="s">
        <v>32</v>
      </c>
      <c r="H104" s="31" t="str">
        <f t="shared" si="14"/>
        <v>HARIANL</v>
      </c>
      <c r="I104" s="32">
        <v>29473</v>
      </c>
      <c r="J104" s="31" t="s">
        <v>33</v>
      </c>
      <c r="K104" s="30" t="s">
        <v>7</v>
      </c>
      <c r="L104" s="32">
        <v>45878</v>
      </c>
      <c r="M104" s="32" t="str">
        <f t="shared" ref="M104:M111" si="15">TEXT(L104,"dd/mm/yyyy")</f>
        <v>09/08/2025</v>
      </c>
      <c r="N104" s="38" t="s">
        <v>298</v>
      </c>
      <c r="O104" s="33" t="s">
        <v>299</v>
      </c>
      <c r="P104" s="34" t="s">
        <v>9</v>
      </c>
      <c r="Q104" s="34" t="s">
        <v>35</v>
      </c>
      <c r="R104" s="35" t="str">
        <f t="shared" ca="1" si="13"/>
        <v>0 Tahun 7 Bulan 9 Hari</v>
      </c>
    </row>
    <row r="105" spans="1:18" s="36" customFormat="1" ht="40.5" customHeight="1" x14ac:dyDescent="0.5">
      <c r="A105" s="26">
        <v>99</v>
      </c>
      <c r="B105" s="48">
        <v>2601560</v>
      </c>
      <c r="C105" s="28" t="s">
        <v>409</v>
      </c>
      <c r="D105" s="29" t="s">
        <v>300</v>
      </c>
      <c r="E105" s="30" t="s">
        <v>3</v>
      </c>
      <c r="F105" s="30" t="s">
        <v>12</v>
      </c>
      <c r="G105" s="31" t="s">
        <v>5</v>
      </c>
      <c r="H105" s="31" t="str">
        <f t="shared" si="14"/>
        <v>HARIANP</v>
      </c>
      <c r="I105" s="32">
        <v>30723</v>
      </c>
      <c r="J105" s="31" t="s">
        <v>33</v>
      </c>
      <c r="K105" s="30" t="s">
        <v>50</v>
      </c>
      <c r="L105" s="32">
        <v>45987</v>
      </c>
      <c r="M105" s="32" t="str">
        <f t="shared" si="15"/>
        <v>26/11/2025</v>
      </c>
      <c r="N105" s="38" t="s">
        <v>14</v>
      </c>
      <c r="O105" s="33" t="s">
        <v>301</v>
      </c>
      <c r="P105" s="34" t="s">
        <v>9</v>
      </c>
      <c r="Q105" s="39" t="s">
        <v>99</v>
      </c>
      <c r="R105" s="35" t="str">
        <f t="shared" ca="1" si="13"/>
        <v>0 Tahun 3 Bulan 20 Hari</v>
      </c>
    </row>
    <row r="106" spans="1:18" s="36" customFormat="1" ht="40.5" customHeight="1" x14ac:dyDescent="0.5">
      <c r="A106" s="26">
        <v>100</v>
      </c>
      <c r="B106" s="48">
        <v>2601564</v>
      </c>
      <c r="C106" s="28" t="s">
        <v>407</v>
      </c>
      <c r="D106" s="29" t="s">
        <v>302</v>
      </c>
      <c r="E106" s="30" t="s">
        <v>3</v>
      </c>
      <c r="F106" s="30" t="s">
        <v>12</v>
      </c>
      <c r="G106" s="31" t="s">
        <v>5</v>
      </c>
      <c r="H106" s="31" t="str">
        <f t="shared" si="14"/>
        <v>HARIANP</v>
      </c>
      <c r="I106" s="32">
        <v>36739</v>
      </c>
      <c r="J106" s="31" t="s">
        <v>33</v>
      </c>
      <c r="K106" s="30" t="s">
        <v>50</v>
      </c>
      <c r="L106" s="32">
        <v>45987</v>
      </c>
      <c r="M106" s="32" t="str">
        <f t="shared" si="15"/>
        <v>26/11/2025</v>
      </c>
      <c r="N106" s="38" t="s">
        <v>14</v>
      </c>
      <c r="O106" s="33" t="s">
        <v>303</v>
      </c>
      <c r="P106" s="34" t="s">
        <v>9</v>
      </c>
      <c r="Q106" s="39" t="s">
        <v>99</v>
      </c>
      <c r="R106" s="35" t="str">
        <f t="shared" ca="1" si="13"/>
        <v>0 Tahun 3 Bulan 20 Hari</v>
      </c>
    </row>
    <row r="107" spans="1:18" s="36" customFormat="1" ht="40.5" customHeight="1" x14ac:dyDescent="0.5">
      <c r="A107" s="26">
        <v>101</v>
      </c>
      <c r="B107" s="48">
        <v>2601565</v>
      </c>
      <c r="C107" s="28" t="s">
        <v>378</v>
      </c>
      <c r="D107" s="47" t="s">
        <v>304</v>
      </c>
      <c r="E107" s="30" t="s">
        <v>3</v>
      </c>
      <c r="F107" s="30" t="s">
        <v>12</v>
      </c>
      <c r="G107" s="31" t="s">
        <v>5</v>
      </c>
      <c r="H107" s="31" t="str">
        <f t="shared" si="14"/>
        <v>HARIANP</v>
      </c>
      <c r="I107" s="32">
        <v>33822</v>
      </c>
      <c r="J107" s="31" t="s">
        <v>13</v>
      </c>
      <c r="K107" s="30" t="s">
        <v>7</v>
      </c>
      <c r="L107" s="32">
        <v>45987</v>
      </c>
      <c r="M107" s="32" t="str">
        <f t="shared" si="15"/>
        <v>26/11/2025</v>
      </c>
      <c r="N107" s="38" t="s">
        <v>14</v>
      </c>
      <c r="O107" s="33" t="s">
        <v>305</v>
      </c>
      <c r="P107" s="34" t="s">
        <v>9</v>
      </c>
      <c r="Q107" s="34" t="s">
        <v>35</v>
      </c>
      <c r="R107" s="35" t="str">
        <f t="shared" ca="1" si="13"/>
        <v>0 Tahun 3 Bulan 20 Hari</v>
      </c>
    </row>
    <row r="108" spans="1:18" s="36" customFormat="1" ht="40.5" customHeight="1" x14ac:dyDescent="0.5">
      <c r="A108" s="26">
        <v>102</v>
      </c>
      <c r="B108" s="48">
        <v>2601574</v>
      </c>
      <c r="C108" s="28" t="s">
        <v>447</v>
      </c>
      <c r="D108" s="47" t="s">
        <v>307</v>
      </c>
      <c r="E108" s="30" t="s">
        <v>3</v>
      </c>
      <c r="F108" s="30" t="s">
        <v>12</v>
      </c>
      <c r="G108" s="31" t="s">
        <v>5</v>
      </c>
      <c r="H108" s="31" t="str">
        <f>F108&amp;G108</f>
        <v>HARIANP</v>
      </c>
      <c r="I108" s="32">
        <v>38910</v>
      </c>
      <c r="J108" s="31" t="s">
        <v>13</v>
      </c>
      <c r="K108" s="30" t="s">
        <v>50</v>
      </c>
      <c r="L108" s="32">
        <v>45987</v>
      </c>
      <c r="M108" s="32" t="str">
        <f t="shared" si="15"/>
        <v>26/11/2025</v>
      </c>
      <c r="N108" s="38" t="s">
        <v>14</v>
      </c>
      <c r="O108" s="33" t="s">
        <v>226</v>
      </c>
      <c r="P108" s="34" t="s">
        <v>9</v>
      </c>
      <c r="Q108" s="39" t="s">
        <v>58</v>
      </c>
      <c r="R108" s="35" t="str">
        <f t="shared" ca="1" si="13"/>
        <v>0 Tahun 3 Bulan 20 Hari</v>
      </c>
    </row>
    <row r="109" spans="1:18" s="36" customFormat="1" ht="40.5" customHeight="1" x14ac:dyDescent="0.5">
      <c r="A109" s="26">
        <v>103</v>
      </c>
      <c r="B109" s="76">
        <v>2210509</v>
      </c>
      <c r="C109" s="28" t="s">
        <v>395</v>
      </c>
      <c r="D109" s="29" t="s">
        <v>308</v>
      </c>
      <c r="E109" s="30" t="s">
        <v>3</v>
      </c>
      <c r="F109" s="30" t="s">
        <v>12</v>
      </c>
      <c r="G109" s="31" t="s">
        <v>5</v>
      </c>
      <c r="H109" s="31" t="str">
        <f>F109&amp;G109</f>
        <v>HARIANP</v>
      </c>
      <c r="I109" s="32">
        <v>34532</v>
      </c>
      <c r="J109" s="31" t="s">
        <v>13</v>
      </c>
      <c r="K109" s="30" t="s">
        <v>7</v>
      </c>
      <c r="L109" s="32">
        <v>45987</v>
      </c>
      <c r="M109" s="32" t="str">
        <f t="shared" si="15"/>
        <v>26/11/2025</v>
      </c>
      <c r="N109" s="38" t="s">
        <v>14</v>
      </c>
      <c r="O109" s="33" t="s">
        <v>309</v>
      </c>
      <c r="P109" s="34" t="s">
        <v>9</v>
      </c>
      <c r="Q109" s="39" t="s">
        <v>58</v>
      </c>
      <c r="R109" s="35" t="str">
        <f t="shared" ca="1" si="13"/>
        <v>0 Tahun 3 Bulan 20 Hari</v>
      </c>
    </row>
    <row r="110" spans="1:18" s="36" customFormat="1" ht="40.5" customHeight="1" x14ac:dyDescent="0.5">
      <c r="A110" s="26">
        <v>104</v>
      </c>
      <c r="B110" s="76">
        <v>2103424</v>
      </c>
      <c r="C110" s="28" t="s">
        <v>414</v>
      </c>
      <c r="D110" s="29" t="s">
        <v>310</v>
      </c>
      <c r="E110" s="30" t="s">
        <v>3</v>
      </c>
      <c r="F110" s="30" t="s">
        <v>12</v>
      </c>
      <c r="G110" s="31" t="s">
        <v>32</v>
      </c>
      <c r="H110" s="31" t="str">
        <f>F110&amp;G110</f>
        <v>HARIANL</v>
      </c>
      <c r="I110" s="32">
        <v>37123</v>
      </c>
      <c r="J110" s="31" t="s">
        <v>13</v>
      </c>
      <c r="K110" s="30" t="s">
        <v>7</v>
      </c>
      <c r="L110" s="32">
        <v>45987</v>
      </c>
      <c r="M110" s="32" t="str">
        <f t="shared" si="15"/>
        <v>26/11/2025</v>
      </c>
      <c r="N110" s="38" t="s">
        <v>14</v>
      </c>
      <c r="O110" s="33" t="s">
        <v>311</v>
      </c>
      <c r="P110" s="34" t="s">
        <v>9</v>
      </c>
      <c r="Q110" s="39" t="s">
        <v>58</v>
      </c>
      <c r="R110" s="35" t="str">
        <f t="shared" ca="1" si="13"/>
        <v>0 Tahun 3 Bulan 20 Hari</v>
      </c>
    </row>
    <row r="111" spans="1:18" s="65" customFormat="1" ht="40.5" customHeight="1" x14ac:dyDescent="0.5">
      <c r="A111" s="26">
        <v>105</v>
      </c>
      <c r="B111" s="77" t="s">
        <v>12</v>
      </c>
      <c r="C111" s="28" t="s">
        <v>389</v>
      </c>
      <c r="D111" s="29" t="s">
        <v>312</v>
      </c>
      <c r="E111" s="30" t="s">
        <v>3</v>
      </c>
      <c r="F111" s="30" t="s">
        <v>12</v>
      </c>
      <c r="G111" s="31" t="s">
        <v>5</v>
      </c>
      <c r="H111" s="31" t="str">
        <f t="shared" ref="H111:H121" si="16">F111&amp;G111</f>
        <v>HARIANP</v>
      </c>
      <c r="I111" s="32">
        <v>37020</v>
      </c>
      <c r="J111" s="31" t="s">
        <v>33</v>
      </c>
      <c r="K111" s="30" t="s">
        <v>50</v>
      </c>
      <c r="L111" s="32">
        <v>45987</v>
      </c>
      <c r="M111" s="32" t="str">
        <f t="shared" si="15"/>
        <v>26/11/2025</v>
      </c>
      <c r="N111" s="38" t="s">
        <v>14</v>
      </c>
      <c r="O111" s="33" t="s">
        <v>313</v>
      </c>
      <c r="P111" s="34" t="s">
        <v>9</v>
      </c>
      <c r="Q111" s="39" t="s">
        <v>58</v>
      </c>
      <c r="R111" s="35" t="str">
        <f t="shared" ca="1" si="13"/>
        <v>0 Tahun 3 Bulan 20 Hari</v>
      </c>
    </row>
    <row r="112" spans="1:18" s="36" customFormat="1" ht="40.5" customHeight="1" x14ac:dyDescent="0.5">
      <c r="A112" s="26">
        <v>106</v>
      </c>
      <c r="B112" s="78" t="s">
        <v>306</v>
      </c>
      <c r="C112" s="28" t="s">
        <v>401</v>
      </c>
      <c r="D112" s="62" t="s">
        <v>314</v>
      </c>
      <c r="E112" s="30" t="s">
        <v>3</v>
      </c>
      <c r="F112" s="30" t="s">
        <v>12</v>
      </c>
      <c r="G112" s="30" t="s">
        <v>5</v>
      </c>
      <c r="H112" s="30" t="str">
        <f t="shared" si="16"/>
        <v>HARIANP</v>
      </c>
      <c r="I112" s="43">
        <v>30437</v>
      </c>
      <c r="J112" s="30" t="s">
        <v>17</v>
      </c>
      <c r="K112" s="30" t="s">
        <v>7</v>
      </c>
      <c r="L112" s="43">
        <v>46055</v>
      </c>
      <c r="M112" s="43" t="str">
        <f>TEXT(L112,"dd/mm/yyyy")</f>
        <v>02/02/2026</v>
      </c>
      <c r="N112" s="63" t="s">
        <v>14</v>
      </c>
      <c r="O112" s="64" t="s">
        <v>315</v>
      </c>
      <c r="P112" s="34" t="s">
        <v>9</v>
      </c>
      <c r="Q112" s="39" t="s">
        <v>58</v>
      </c>
      <c r="R112" s="35" t="str">
        <f t="shared" ca="1" si="13"/>
        <v>0 Tahun 1 Bulan 16 Hari</v>
      </c>
    </row>
    <row r="113" spans="1:18" s="36" customFormat="1" ht="40.5" customHeight="1" x14ac:dyDescent="0.5">
      <c r="A113" s="26">
        <v>107</v>
      </c>
      <c r="B113" s="76">
        <v>2104470</v>
      </c>
      <c r="C113" s="28" t="s">
        <v>394</v>
      </c>
      <c r="D113" s="62" t="s">
        <v>316</v>
      </c>
      <c r="E113" s="30" t="s">
        <v>97</v>
      </c>
      <c r="F113" s="30" t="s">
        <v>12</v>
      </c>
      <c r="G113" s="30" t="s">
        <v>5</v>
      </c>
      <c r="H113" s="30" t="str">
        <f t="shared" si="16"/>
        <v>HARIANP</v>
      </c>
      <c r="I113" s="43">
        <v>31726</v>
      </c>
      <c r="J113" s="30" t="s">
        <v>13</v>
      </c>
      <c r="K113" s="30" t="s">
        <v>50</v>
      </c>
      <c r="L113" s="43">
        <v>46055</v>
      </c>
      <c r="M113" s="43" t="str">
        <f>TEXT(L113,"dd/mm/yyyy")</f>
        <v>02/02/2026</v>
      </c>
      <c r="N113" s="63" t="s">
        <v>14</v>
      </c>
      <c r="O113" s="64" t="s">
        <v>317</v>
      </c>
      <c r="P113" s="34" t="s">
        <v>9</v>
      </c>
      <c r="Q113" s="39" t="s">
        <v>58</v>
      </c>
      <c r="R113" s="35" t="str">
        <f t="shared" ca="1" si="13"/>
        <v>0 Tahun 1 Bulan 16 Hari</v>
      </c>
    </row>
    <row r="114" spans="1:18" s="36" customFormat="1" ht="40.5" customHeight="1" x14ac:dyDescent="0.5">
      <c r="A114" s="26">
        <v>108</v>
      </c>
      <c r="B114" s="76">
        <v>2008406</v>
      </c>
      <c r="C114" s="28" t="s">
        <v>456</v>
      </c>
      <c r="D114" s="66" t="s">
        <v>319</v>
      </c>
      <c r="E114" s="30" t="s">
        <v>3</v>
      </c>
      <c r="F114" s="30" t="s">
        <v>12</v>
      </c>
      <c r="G114" s="30" t="s">
        <v>5</v>
      </c>
      <c r="H114" s="30" t="str">
        <f t="shared" si="16"/>
        <v>HARIANP</v>
      </c>
      <c r="I114" s="43">
        <v>37206</v>
      </c>
      <c r="J114" s="30" t="s">
        <v>13</v>
      </c>
      <c r="K114" s="30" t="s">
        <v>50</v>
      </c>
      <c r="L114" s="43">
        <v>46055</v>
      </c>
      <c r="M114" s="43" t="str">
        <f t="shared" ref="M114:M119" si="17">TEXT(L114,"dd/mm/yyyy")</f>
        <v>02/02/2026</v>
      </c>
      <c r="N114" s="63" t="s">
        <v>14</v>
      </c>
      <c r="O114" s="64" t="s">
        <v>320</v>
      </c>
      <c r="P114" s="34" t="s">
        <v>9</v>
      </c>
      <c r="Q114" s="39" t="s">
        <v>58</v>
      </c>
      <c r="R114" s="35" t="str">
        <f t="shared" ca="1" si="13"/>
        <v>0 Tahun 1 Bulan 16 Hari</v>
      </c>
    </row>
    <row r="115" spans="1:18" s="36" customFormat="1" ht="40.5" customHeight="1" x14ac:dyDescent="0.5">
      <c r="A115" s="26">
        <v>109</v>
      </c>
      <c r="B115" s="27">
        <v>2104469</v>
      </c>
      <c r="C115" s="28" t="s">
        <v>322</v>
      </c>
      <c r="D115" s="66" t="s">
        <v>323</v>
      </c>
      <c r="E115" s="30" t="s">
        <v>3</v>
      </c>
      <c r="F115" s="30" t="s">
        <v>12</v>
      </c>
      <c r="G115" s="30" t="s">
        <v>5</v>
      </c>
      <c r="H115" s="30" t="str">
        <f t="shared" si="16"/>
        <v>HARIANP</v>
      </c>
      <c r="I115" s="63">
        <v>39636</v>
      </c>
      <c r="J115" s="30" t="s">
        <v>13</v>
      </c>
      <c r="K115" s="30" t="s">
        <v>50</v>
      </c>
      <c r="L115" s="43">
        <v>46055</v>
      </c>
      <c r="M115" s="43" t="str">
        <f t="shared" si="17"/>
        <v>02/02/2026</v>
      </c>
      <c r="N115" s="63" t="s">
        <v>14</v>
      </c>
      <c r="O115" s="64" t="s">
        <v>324</v>
      </c>
      <c r="P115" s="34" t="s">
        <v>9</v>
      </c>
      <c r="Q115" s="39" t="s">
        <v>58</v>
      </c>
      <c r="R115" s="35" t="str">
        <f t="shared" ca="1" si="13"/>
        <v>0 Tahun 1 Bulan 16 Hari</v>
      </c>
    </row>
    <row r="116" spans="1:18" s="65" customFormat="1" ht="40.5" customHeight="1" x14ac:dyDescent="0.5">
      <c r="A116" s="26">
        <v>110</v>
      </c>
      <c r="B116" s="28">
        <v>2103458</v>
      </c>
      <c r="C116" s="28" t="s">
        <v>392</v>
      </c>
      <c r="D116" s="62" t="s">
        <v>325</v>
      </c>
      <c r="E116" s="30" t="s">
        <v>3</v>
      </c>
      <c r="F116" s="30" t="s">
        <v>12</v>
      </c>
      <c r="G116" s="30" t="s">
        <v>5</v>
      </c>
      <c r="H116" s="30" t="str">
        <f t="shared" si="16"/>
        <v>HARIANP</v>
      </c>
      <c r="I116" s="43">
        <v>29971</v>
      </c>
      <c r="J116" s="30" t="s">
        <v>33</v>
      </c>
      <c r="K116" s="30" t="s">
        <v>7</v>
      </c>
      <c r="L116" s="43">
        <v>46062</v>
      </c>
      <c r="M116" s="43" t="str">
        <f t="shared" si="17"/>
        <v>09/02/2026</v>
      </c>
      <c r="N116" s="63" t="s">
        <v>14</v>
      </c>
      <c r="O116" s="64" t="s">
        <v>326</v>
      </c>
      <c r="P116" s="34" t="s">
        <v>9</v>
      </c>
      <c r="Q116" s="39" t="s">
        <v>58</v>
      </c>
      <c r="R116" s="35" t="str">
        <f t="shared" ca="1" si="13"/>
        <v>0 Tahun 1 Bulan 9 Hari</v>
      </c>
    </row>
    <row r="117" spans="1:18" s="65" customFormat="1" ht="40.5" customHeight="1" x14ac:dyDescent="0.5">
      <c r="A117" s="26">
        <v>111</v>
      </c>
      <c r="B117" s="28">
        <v>2103461</v>
      </c>
      <c r="C117" s="28" t="s">
        <v>422</v>
      </c>
      <c r="D117" s="62" t="s">
        <v>327</v>
      </c>
      <c r="E117" s="30" t="s">
        <v>3</v>
      </c>
      <c r="F117" s="30" t="s">
        <v>12</v>
      </c>
      <c r="G117" s="30" t="s">
        <v>5</v>
      </c>
      <c r="H117" s="30" t="str">
        <f t="shared" si="16"/>
        <v>HARIANP</v>
      </c>
      <c r="I117" s="43">
        <v>35566</v>
      </c>
      <c r="J117" s="30" t="s">
        <v>13</v>
      </c>
      <c r="K117" s="30" t="s">
        <v>7</v>
      </c>
      <c r="L117" s="43">
        <v>46048</v>
      </c>
      <c r="M117" s="43" t="str">
        <f t="shared" si="17"/>
        <v>26/01/2026</v>
      </c>
      <c r="N117" s="63" t="s">
        <v>14</v>
      </c>
      <c r="O117" s="64" t="s">
        <v>328</v>
      </c>
      <c r="P117" s="34" t="s">
        <v>9</v>
      </c>
      <c r="Q117" s="34" t="s">
        <v>10</v>
      </c>
      <c r="R117" s="35" t="str">
        <f t="shared" ca="1" si="13"/>
        <v>0 Tahun 1 Bulan 20 Hari</v>
      </c>
    </row>
    <row r="118" spans="1:18" s="65" customFormat="1" ht="40.5" customHeight="1" x14ac:dyDescent="0.5">
      <c r="A118" s="26">
        <v>112</v>
      </c>
      <c r="B118" s="49" t="s">
        <v>318</v>
      </c>
      <c r="C118" s="28" t="s">
        <v>371</v>
      </c>
      <c r="D118" s="66" t="s">
        <v>329</v>
      </c>
      <c r="E118" s="30" t="s">
        <v>3</v>
      </c>
      <c r="F118" s="30" t="s">
        <v>12</v>
      </c>
      <c r="G118" s="30" t="s">
        <v>5</v>
      </c>
      <c r="H118" s="30" t="str">
        <f t="shared" si="16"/>
        <v>HARIANP</v>
      </c>
      <c r="I118" s="28" t="s">
        <v>330</v>
      </c>
      <c r="J118" s="34" t="s">
        <v>13</v>
      </c>
      <c r="K118" s="30" t="s">
        <v>7</v>
      </c>
      <c r="L118" s="43">
        <v>46050</v>
      </c>
      <c r="M118" s="43" t="str">
        <f t="shared" si="17"/>
        <v>28/01/2026</v>
      </c>
      <c r="N118" s="63" t="s">
        <v>14</v>
      </c>
      <c r="O118" s="28" t="s">
        <v>331</v>
      </c>
      <c r="P118" s="34" t="s">
        <v>9</v>
      </c>
      <c r="Q118" s="39" t="s">
        <v>21</v>
      </c>
      <c r="R118" s="35" t="str">
        <f t="shared" ca="1" si="13"/>
        <v>0 Tahun 1 Bulan 18 Hari</v>
      </c>
    </row>
    <row r="119" spans="1:18" s="65" customFormat="1" ht="40.5" customHeight="1" x14ac:dyDescent="0.5">
      <c r="A119" s="26">
        <v>113</v>
      </c>
      <c r="B119" s="49" t="s">
        <v>321</v>
      </c>
      <c r="C119" s="28" t="s">
        <v>432</v>
      </c>
      <c r="D119" s="66" t="s">
        <v>333</v>
      </c>
      <c r="E119" s="30" t="s">
        <v>3</v>
      </c>
      <c r="F119" s="30" t="s">
        <v>12</v>
      </c>
      <c r="G119" s="30" t="s">
        <v>32</v>
      </c>
      <c r="H119" s="30" t="str">
        <f t="shared" si="16"/>
        <v>HARIANL</v>
      </c>
      <c r="I119" s="28" t="s">
        <v>334</v>
      </c>
      <c r="J119" s="34" t="s">
        <v>33</v>
      </c>
      <c r="K119" s="30" t="s">
        <v>50</v>
      </c>
      <c r="L119" s="43">
        <v>45985</v>
      </c>
      <c r="M119" s="43" t="str">
        <f t="shared" si="17"/>
        <v>24/11/2025</v>
      </c>
      <c r="N119" s="63" t="s">
        <v>14</v>
      </c>
      <c r="O119" s="28" t="s">
        <v>335</v>
      </c>
      <c r="P119" s="34" t="s">
        <v>9</v>
      </c>
      <c r="Q119" s="34" t="s">
        <v>99</v>
      </c>
      <c r="R119" s="35" t="str">
        <f t="shared" ca="1" si="13"/>
        <v>0 Tahun 3 Bulan 22 Hari</v>
      </c>
    </row>
    <row r="120" spans="1:18" s="65" customFormat="1" ht="40.5" customHeight="1" x14ac:dyDescent="0.25">
      <c r="A120" s="26">
        <v>114</v>
      </c>
      <c r="B120" s="28">
        <v>2103463</v>
      </c>
      <c r="C120" s="79" t="s">
        <v>404</v>
      </c>
      <c r="D120" s="80" t="s">
        <v>336</v>
      </c>
      <c r="E120" s="81" t="s">
        <v>3</v>
      </c>
      <c r="F120" s="30" t="s">
        <v>12</v>
      </c>
      <c r="G120" s="81" t="s">
        <v>5</v>
      </c>
      <c r="H120" s="30" t="str">
        <f t="shared" si="16"/>
        <v>HARIANP</v>
      </c>
      <c r="I120" s="82">
        <v>30073</v>
      </c>
      <c r="J120" s="81" t="s">
        <v>13</v>
      </c>
      <c r="K120" s="81" t="s">
        <v>7</v>
      </c>
      <c r="L120" s="83">
        <v>46074</v>
      </c>
      <c r="M120" s="84" t="str">
        <f>TEXT(L120,"dd/mm/yyyy")</f>
        <v>21/02/2026</v>
      </c>
      <c r="N120" s="63" t="s">
        <v>14</v>
      </c>
      <c r="O120" s="81" t="s">
        <v>337</v>
      </c>
      <c r="P120" s="79" t="s">
        <v>9</v>
      </c>
      <c r="Q120" s="34" t="s">
        <v>184</v>
      </c>
      <c r="R120" s="35" t="str">
        <f t="shared" ca="1" si="13"/>
        <v>0 Tahun 0 Bulan 25 Hari</v>
      </c>
    </row>
    <row r="121" spans="1:18" s="65" customFormat="1" ht="40.5" customHeight="1" x14ac:dyDescent="0.25">
      <c r="A121" s="26">
        <v>115</v>
      </c>
      <c r="B121" s="28">
        <v>2106483</v>
      </c>
      <c r="C121" s="86" t="s">
        <v>418</v>
      </c>
      <c r="D121" s="87" t="s">
        <v>338</v>
      </c>
      <c r="E121" s="88" t="s">
        <v>3</v>
      </c>
      <c r="F121" s="30" t="s">
        <v>12</v>
      </c>
      <c r="G121" s="88" t="s">
        <v>5</v>
      </c>
      <c r="H121" s="30" t="str">
        <f t="shared" si="16"/>
        <v>HARIANP</v>
      </c>
      <c r="I121" s="89">
        <v>35688</v>
      </c>
      <c r="J121" s="88" t="s">
        <v>176</v>
      </c>
      <c r="K121" s="88" t="s">
        <v>50</v>
      </c>
      <c r="L121" s="83">
        <v>46074</v>
      </c>
      <c r="M121" s="89" t="str">
        <f t="shared" ref="M121" si="18">TEXT(L121,"dd/mm/yyyy")</f>
        <v>21/02/2026</v>
      </c>
      <c r="N121" s="63" t="s">
        <v>14</v>
      </c>
      <c r="O121" s="88" t="s">
        <v>339</v>
      </c>
      <c r="P121" s="86" t="s">
        <v>9</v>
      </c>
      <c r="Q121" s="34" t="s">
        <v>184</v>
      </c>
      <c r="R121" s="35" t="str">
        <f t="shared" ca="1" si="13"/>
        <v>0 Tahun 0 Bulan 25 Hari</v>
      </c>
    </row>
    <row r="122" spans="1:18" s="65" customFormat="1" ht="40.5" customHeight="1" x14ac:dyDescent="0.25">
      <c r="A122" s="26">
        <v>116</v>
      </c>
      <c r="B122" s="28" t="s">
        <v>12</v>
      </c>
    </row>
    <row r="123" spans="1:18" s="65" customFormat="1" ht="40.5" customHeight="1" x14ac:dyDescent="0.25">
      <c r="A123" s="26">
        <v>117</v>
      </c>
      <c r="B123" s="28" t="s">
        <v>332</v>
      </c>
    </row>
    <row r="124" spans="1:18" s="85" customFormat="1" ht="35.25" x14ac:dyDescent="0.25">
      <c r="A124" s="26">
        <v>118</v>
      </c>
      <c r="B124" s="28" t="s">
        <v>12</v>
      </c>
    </row>
    <row r="125" spans="1:18" s="90" customFormat="1" ht="35.25" x14ac:dyDescent="0.25">
      <c r="A125" s="26">
        <v>119</v>
      </c>
      <c r="B125" s="28" t="s">
        <v>12</v>
      </c>
    </row>
    <row r="126" spans="1:18" ht="29.45" customHeight="1" x14ac:dyDescent="0.5">
      <c r="A126" s="91"/>
      <c r="B126" s="92"/>
      <c r="C126" s="93"/>
      <c r="D126" s="94"/>
      <c r="E126" s="95"/>
      <c r="F126" s="95"/>
      <c r="G126" s="91"/>
      <c r="H126" s="91"/>
      <c r="I126" s="96"/>
      <c r="J126" s="91"/>
      <c r="K126" s="97"/>
      <c r="L126" s="96"/>
      <c r="M126" s="96"/>
      <c r="N126" s="96"/>
      <c r="O126" s="92"/>
      <c r="P126" s="95"/>
      <c r="Q126" s="91"/>
      <c r="R126" s="98" t="s">
        <v>341</v>
      </c>
    </row>
    <row r="127" spans="1:18" ht="41.45" customHeight="1" x14ac:dyDescent="0.5">
      <c r="A127" s="91"/>
      <c r="B127" s="99" t="s">
        <v>340</v>
      </c>
      <c r="C127" s="100" t="s">
        <v>341</v>
      </c>
      <c r="D127" s="94"/>
      <c r="E127" s="95"/>
      <c r="F127" s="95"/>
      <c r="G127" s="91"/>
      <c r="H127" s="91"/>
      <c r="I127" s="96"/>
      <c r="J127" s="91"/>
      <c r="K127" s="97"/>
      <c r="L127" s="96"/>
      <c r="M127" s="96"/>
      <c r="N127" s="96"/>
      <c r="O127" s="92"/>
      <c r="P127" s="95"/>
      <c r="Q127" s="91"/>
      <c r="R127" s="98"/>
    </row>
    <row r="128" spans="1:18" ht="41.45" customHeight="1" x14ac:dyDescent="0.5">
      <c r="A128" s="91"/>
      <c r="B128" s="92"/>
      <c r="C128" s="93"/>
      <c r="D128" s="101">
        <f>F138+G138</f>
        <v>119</v>
      </c>
      <c r="E128" s="95"/>
      <c r="F128" s="95"/>
      <c r="G128" s="98"/>
      <c r="H128" s="98"/>
      <c r="I128" s="102" t="s">
        <v>342</v>
      </c>
      <c r="J128" s="103"/>
      <c r="K128" s="104"/>
      <c r="L128" s="105"/>
      <c r="M128" s="102" t="s">
        <v>343</v>
      </c>
      <c r="N128" s="96"/>
      <c r="O128" s="92"/>
      <c r="P128" s="95"/>
      <c r="Q128" s="91"/>
      <c r="R128" s="98"/>
    </row>
    <row r="129" spans="1:18" ht="41.45" customHeight="1" x14ac:dyDescent="0.5">
      <c r="A129" s="91"/>
      <c r="B129" s="92"/>
      <c r="C129" s="106"/>
      <c r="D129" s="94"/>
      <c r="E129" s="95"/>
      <c r="F129" s="95"/>
      <c r="G129" s="98"/>
      <c r="H129" s="98"/>
      <c r="I129" s="107" t="s">
        <v>10</v>
      </c>
      <c r="J129" s="91"/>
      <c r="K129" s="104">
        <f>COUNTIF(Q3:Q120,I129)</f>
        <v>4</v>
      </c>
      <c r="L129" s="105"/>
      <c r="M129" s="102"/>
      <c r="N129" s="96"/>
      <c r="O129" s="92"/>
      <c r="P129" s="95"/>
      <c r="Q129" s="91"/>
      <c r="R129" s="98"/>
    </row>
    <row r="130" spans="1:18" ht="41.45" customHeight="1" x14ac:dyDescent="0.5">
      <c r="A130" s="91"/>
      <c r="B130" s="99" t="s">
        <v>344</v>
      </c>
      <c r="C130" s="108" t="s">
        <v>345</v>
      </c>
      <c r="D130" s="109"/>
      <c r="E130" s="110">
        <v>2</v>
      </c>
      <c r="F130" s="95"/>
      <c r="G130" s="98"/>
      <c r="H130" s="98"/>
      <c r="I130" s="111" t="s">
        <v>21</v>
      </c>
      <c r="J130" s="91"/>
      <c r="K130" s="104">
        <f>COUNTIF(Q3:Q120,I130)</f>
        <v>5</v>
      </c>
      <c r="L130" s="105"/>
      <c r="M130" s="102"/>
      <c r="N130" s="96"/>
      <c r="O130" s="92"/>
      <c r="P130" s="95"/>
      <c r="Q130" s="91"/>
      <c r="R130" s="98"/>
    </row>
    <row r="131" spans="1:18" ht="41.45" customHeight="1" x14ac:dyDescent="0.5">
      <c r="A131" s="91"/>
      <c r="B131" s="99"/>
      <c r="C131" s="112" t="s">
        <v>346</v>
      </c>
      <c r="D131" s="113"/>
      <c r="E131" s="110">
        <f>D128-E130</f>
        <v>117</v>
      </c>
      <c r="F131" s="95"/>
      <c r="G131" s="97"/>
      <c r="H131" s="97"/>
      <c r="I131" s="107" t="s">
        <v>347</v>
      </c>
      <c r="J131" s="91"/>
      <c r="K131" s="104">
        <f>COUNTIF(Q3:Q120,I131)</f>
        <v>0</v>
      </c>
      <c r="L131" s="105"/>
      <c r="M131" s="102"/>
      <c r="N131" s="96"/>
      <c r="O131" s="92"/>
      <c r="P131" s="95"/>
      <c r="Q131" s="91"/>
      <c r="R131" s="98"/>
    </row>
    <row r="132" spans="1:18" ht="41.45" customHeight="1" x14ac:dyDescent="0.5">
      <c r="A132" s="91"/>
      <c r="B132" s="99"/>
      <c r="C132" s="106"/>
      <c r="D132" s="94"/>
      <c r="E132" s="95"/>
      <c r="F132" s="95"/>
      <c r="G132" s="97"/>
      <c r="H132" s="97"/>
      <c r="I132" s="107" t="s">
        <v>35</v>
      </c>
      <c r="J132" s="91"/>
      <c r="K132" s="104">
        <f>COUNTIF(Q3:Q120,I132)</f>
        <v>12</v>
      </c>
      <c r="L132" s="105"/>
      <c r="M132" s="102"/>
      <c r="N132" s="96"/>
      <c r="O132" s="92"/>
      <c r="P132" s="95"/>
      <c r="Q132" s="91"/>
      <c r="R132" s="98"/>
    </row>
    <row r="133" spans="1:18" ht="41.45" customHeight="1" x14ac:dyDescent="0.5">
      <c r="A133" s="91"/>
      <c r="B133" s="99"/>
      <c r="C133" s="106"/>
      <c r="D133" s="114"/>
      <c r="E133" s="103"/>
      <c r="F133" s="95"/>
      <c r="G133" s="97"/>
      <c r="H133" s="97"/>
      <c r="I133" s="115"/>
      <c r="J133" s="91"/>
      <c r="K133" s="104"/>
      <c r="L133" s="105"/>
      <c r="M133" s="102"/>
      <c r="N133" s="96"/>
      <c r="O133" s="92"/>
      <c r="P133" s="95"/>
      <c r="Q133" s="91"/>
      <c r="R133" s="98"/>
    </row>
    <row r="134" spans="1:18" ht="41.45" customHeight="1" x14ac:dyDescent="0.5">
      <c r="A134" s="91"/>
      <c r="B134" s="99" t="s">
        <v>348</v>
      </c>
      <c r="C134" s="93"/>
      <c r="D134" s="94"/>
      <c r="E134" s="95"/>
      <c r="F134" s="110" t="s">
        <v>5</v>
      </c>
      <c r="G134" s="110" t="s">
        <v>32</v>
      </c>
      <c r="H134" s="97"/>
      <c r="I134" s="111" t="s">
        <v>58</v>
      </c>
      <c r="J134" s="91"/>
      <c r="K134" s="104">
        <f>COUNTIF(Q3:Q120,I134)</f>
        <v>32</v>
      </c>
      <c r="L134" s="105"/>
      <c r="M134" s="102"/>
      <c r="N134" s="96"/>
      <c r="O134" s="92"/>
      <c r="P134" s="95"/>
      <c r="Q134" s="91"/>
      <c r="R134" s="98"/>
    </row>
    <row r="135" spans="1:18" ht="41.45" customHeight="1" x14ac:dyDescent="0.5">
      <c r="A135" s="91"/>
      <c r="B135" s="99"/>
      <c r="C135" s="116" t="s">
        <v>349</v>
      </c>
      <c r="D135" s="117" t="s">
        <v>27</v>
      </c>
      <c r="E135" s="118">
        <f>COUNTIF(F3:F121,D135)</f>
        <v>52</v>
      </c>
      <c r="F135" s="110">
        <f>COUNTIF(H3:H121,D145)</f>
        <v>19</v>
      </c>
      <c r="G135" s="119">
        <f>COUNTIF(H3:H121,D146)</f>
        <v>33</v>
      </c>
      <c r="H135" s="98"/>
      <c r="I135" s="111" t="s">
        <v>99</v>
      </c>
      <c r="J135" s="91"/>
      <c r="K135" s="104">
        <f>COUNTIF(Q3:Q120,I135)</f>
        <v>29</v>
      </c>
      <c r="L135" s="96"/>
      <c r="M135" s="96"/>
      <c r="N135" s="96"/>
      <c r="O135" s="92"/>
      <c r="P135" s="95"/>
      <c r="Q135" s="91"/>
      <c r="R135" s="98"/>
    </row>
    <row r="136" spans="1:18" ht="41.45" customHeight="1" x14ac:dyDescent="0.5">
      <c r="A136" s="91"/>
      <c r="B136" s="99"/>
      <c r="C136" s="120" t="s">
        <v>350</v>
      </c>
      <c r="D136" s="121" t="s">
        <v>4</v>
      </c>
      <c r="E136" s="122">
        <f>COUNTIF(F3:F121,D136)</f>
        <v>29</v>
      </c>
      <c r="F136" s="123">
        <f>COUNTIF(H3:H121,D148)</f>
        <v>14</v>
      </c>
      <c r="G136" s="124">
        <f>COUNTIF(H3:H121,D147)</f>
        <v>15</v>
      </c>
      <c r="H136" s="97"/>
      <c r="I136" s="115" t="s">
        <v>169</v>
      </c>
      <c r="J136" s="91"/>
      <c r="K136" s="104">
        <f>COUNTIF(Q3:Q120,I136)</f>
        <v>3</v>
      </c>
      <c r="L136" s="105"/>
      <c r="M136" s="105"/>
      <c r="N136" s="96"/>
      <c r="O136" s="92"/>
      <c r="P136" s="95"/>
      <c r="Q136" s="91"/>
      <c r="R136" s="98"/>
    </row>
    <row r="137" spans="1:18" ht="41.45" customHeight="1" x14ac:dyDescent="0.5">
      <c r="A137" s="91"/>
      <c r="B137" s="99"/>
      <c r="C137" s="116" t="s">
        <v>14</v>
      </c>
      <c r="D137" s="125" t="s">
        <v>12</v>
      </c>
      <c r="E137" s="118">
        <f>COUNTIF(F3:F121,D137)</f>
        <v>38</v>
      </c>
      <c r="F137" s="110">
        <f>COUNTIF(H3:H121,D149)</f>
        <v>26</v>
      </c>
      <c r="G137" s="119">
        <f>COUNTIF(H3:H121,D150)</f>
        <v>12</v>
      </c>
      <c r="H137" s="97"/>
      <c r="I137" s="115" t="s">
        <v>179</v>
      </c>
      <c r="J137" s="91"/>
      <c r="K137" s="104">
        <f>COUNTIF(Q3:Q120,I137)</f>
        <v>2</v>
      </c>
      <c r="L137" s="105"/>
      <c r="M137" s="105"/>
      <c r="N137" s="96"/>
      <c r="O137" s="92"/>
      <c r="P137" s="95"/>
      <c r="Q137" s="91"/>
      <c r="R137" s="98"/>
    </row>
    <row r="138" spans="1:18" ht="41.45" customHeight="1" x14ac:dyDescent="0.5">
      <c r="A138" s="91"/>
      <c r="B138" s="99"/>
      <c r="C138" s="116" t="s">
        <v>341</v>
      </c>
      <c r="D138" s="126"/>
      <c r="E138" s="118">
        <f>SUM(E135:E137)</f>
        <v>119</v>
      </c>
      <c r="F138" s="127">
        <f>SUM(F135:F137)</f>
        <v>59</v>
      </c>
      <c r="G138" s="60">
        <f>SUM(G135:G137)</f>
        <v>60</v>
      </c>
      <c r="H138" s="97">
        <f>SUM(F138:G138)</f>
        <v>119</v>
      </c>
      <c r="I138" s="107" t="s">
        <v>184</v>
      </c>
      <c r="J138" s="91"/>
      <c r="K138" s="104">
        <f>COUNTIF(Q3:Q120,I138)</f>
        <v>3</v>
      </c>
      <c r="L138" s="105"/>
      <c r="M138" s="105"/>
      <c r="N138" s="96"/>
      <c r="O138" s="92"/>
      <c r="P138" s="95"/>
      <c r="Q138" s="91"/>
      <c r="R138" s="98"/>
    </row>
    <row r="139" spans="1:18" ht="41.45" customHeight="1" x14ac:dyDescent="0.5">
      <c r="A139" s="91"/>
      <c r="B139" s="99"/>
      <c r="C139" s="106"/>
      <c r="D139" s="114"/>
      <c r="E139" s="103"/>
      <c r="F139" s="95"/>
      <c r="G139" s="97"/>
      <c r="H139" s="97"/>
      <c r="I139" s="128" t="s">
        <v>191</v>
      </c>
      <c r="J139" s="91"/>
      <c r="K139" s="104">
        <f>COUNTIF(Q3:Q120,I139)</f>
        <v>1</v>
      </c>
      <c r="L139" s="105"/>
      <c r="M139" s="105"/>
      <c r="N139" s="96"/>
      <c r="O139" s="92"/>
      <c r="P139" s="95"/>
      <c r="Q139" s="91"/>
      <c r="R139" s="98"/>
    </row>
    <row r="140" spans="1:18" ht="41.45" customHeight="1" x14ac:dyDescent="0.5">
      <c r="A140" s="129"/>
      <c r="B140" s="130"/>
      <c r="C140" s="131"/>
      <c r="D140" s="132"/>
      <c r="E140" s="133"/>
      <c r="F140" s="95"/>
      <c r="G140" s="97"/>
      <c r="H140" s="97"/>
      <c r="I140" s="134" t="s">
        <v>197</v>
      </c>
      <c r="J140" s="91"/>
      <c r="K140" s="104">
        <f>COUNTIF(Q3:Q120,I140)</f>
        <v>1</v>
      </c>
      <c r="L140" s="105"/>
      <c r="M140" s="105"/>
      <c r="N140" s="96"/>
      <c r="O140" s="92"/>
      <c r="P140" s="95"/>
      <c r="Q140" s="91"/>
      <c r="R140" s="98"/>
    </row>
    <row r="141" spans="1:18" ht="41.45" customHeight="1" x14ac:dyDescent="0.5">
      <c r="A141" s="129"/>
      <c r="B141" s="130"/>
      <c r="C141" s="131"/>
      <c r="D141" s="135"/>
      <c r="E141" s="133"/>
      <c r="F141" s="95"/>
      <c r="G141" s="97"/>
      <c r="H141" s="97"/>
      <c r="I141" s="115" t="s">
        <v>196</v>
      </c>
      <c r="J141" s="91"/>
      <c r="K141" s="104">
        <f>COUNTIF(Q3:Q120,I141)</f>
        <v>8</v>
      </c>
      <c r="L141" s="105"/>
      <c r="M141" s="105"/>
      <c r="N141" s="96"/>
      <c r="O141" s="92"/>
      <c r="P141" s="95"/>
      <c r="Q141" s="91"/>
      <c r="R141" s="98"/>
    </row>
    <row r="142" spans="1:18" ht="41.45" customHeight="1" x14ac:dyDescent="0.5">
      <c r="A142" s="129"/>
      <c r="B142" s="130"/>
      <c r="C142" s="131"/>
      <c r="D142" s="135"/>
      <c r="E142" s="133"/>
      <c r="F142" s="95"/>
      <c r="G142" s="97"/>
      <c r="H142" s="97"/>
      <c r="I142" s="115" t="s">
        <v>223</v>
      </c>
      <c r="J142" s="91"/>
      <c r="K142" s="104">
        <f>COUNTIF(Q3:Q120,I142)</f>
        <v>8</v>
      </c>
      <c r="L142" s="105"/>
      <c r="M142" s="105"/>
      <c r="N142" s="96"/>
      <c r="O142" s="92"/>
      <c r="P142" s="95"/>
      <c r="Q142" s="91"/>
      <c r="R142" s="98"/>
    </row>
    <row r="143" spans="1:18" ht="41.45" customHeight="1" x14ac:dyDescent="0.5">
      <c r="A143" s="129"/>
      <c r="B143" s="136"/>
      <c r="C143" s="131"/>
      <c r="D143" s="135"/>
      <c r="E143" s="137"/>
      <c r="F143" s="95"/>
      <c r="G143" s="97"/>
      <c r="H143" s="97"/>
      <c r="I143" s="115" t="s">
        <v>239</v>
      </c>
      <c r="J143" s="91"/>
      <c r="K143" s="104">
        <f>COUNTIF(Q3:Q120,I143)</f>
        <v>8</v>
      </c>
      <c r="L143" s="105"/>
      <c r="M143" s="105"/>
      <c r="N143" s="96"/>
      <c r="O143" s="92"/>
      <c r="P143" s="95"/>
      <c r="Q143" s="91"/>
      <c r="R143" s="98"/>
    </row>
    <row r="144" spans="1:18" ht="41.45" customHeight="1" x14ac:dyDescent="0.5">
      <c r="A144" s="91"/>
      <c r="B144" s="92"/>
      <c r="C144" s="93"/>
      <c r="D144" s="94"/>
      <c r="E144" s="95"/>
      <c r="F144" s="95"/>
      <c r="G144" s="97"/>
      <c r="H144" s="97"/>
      <c r="I144" s="115" t="s">
        <v>253</v>
      </c>
      <c r="J144" s="91"/>
      <c r="K144" s="104">
        <f>COUNTIF(Q3:Q120,I144)</f>
        <v>2</v>
      </c>
      <c r="L144" s="96"/>
      <c r="M144" s="96"/>
      <c r="N144" s="96"/>
      <c r="O144" s="92"/>
      <c r="P144" s="95"/>
      <c r="Q144" s="91"/>
      <c r="R144" s="98"/>
    </row>
    <row r="145" spans="1:18" ht="41.45" customHeight="1" x14ac:dyDescent="0.5">
      <c r="A145" s="91"/>
      <c r="B145" s="92"/>
      <c r="C145" s="93"/>
      <c r="D145" s="138" t="s">
        <v>351</v>
      </c>
      <c r="E145" s="139"/>
      <c r="F145" s="139"/>
      <c r="G145" s="140"/>
      <c r="H145" s="97"/>
      <c r="I145" s="134" t="s">
        <v>352</v>
      </c>
      <c r="J145" s="91"/>
      <c r="K145" s="97">
        <f>SUM(K129:K144)</f>
        <v>118</v>
      </c>
      <c r="L145" s="96"/>
      <c r="M145" s="96"/>
      <c r="N145" s="96"/>
      <c r="O145" s="92"/>
      <c r="P145" s="95"/>
      <c r="Q145" s="91"/>
      <c r="R145" s="98"/>
    </row>
    <row r="146" spans="1:18" ht="41.45" customHeight="1" x14ac:dyDescent="0.5">
      <c r="A146" s="91"/>
      <c r="B146" s="92"/>
      <c r="C146" s="106"/>
      <c r="D146" s="138" t="s">
        <v>353</v>
      </c>
      <c r="E146" s="139"/>
      <c r="F146" s="139"/>
      <c r="G146" s="140"/>
      <c r="H146" s="97"/>
      <c r="I146" s="134"/>
      <c r="J146" s="91"/>
      <c r="K146" s="97"/>
      <c r="L146" s="96"/>
      <c r="M146" s="96"/>
      <c r="N146" s="96"/>
      <c r="O146" s="92"/>
      <c r="P146" s="95"/>
      <c r="Q146" s="91"/>
      <c r="R146" s="98"/>
    </row>
    <row r="147" spans="1:18" ht="41.45" customHeight="1" x14ac:dyDescent="0.5">
      <c r="A147" s="91"/>
      <c r="B147" s="99"/>
      <c r="C147" s="93"/>
      <c r="D147" s="138" t="s">
        <v>354</v>
      </c>
      <c r="E147" s="141"/>
      <c r="F147" s="139"/>
      <c r="G147" s="140"/>
      <c r="H147" s="97"/>
      <c r="I147" s="134"/>
      <c r="J147" s="91"/>
      <c r="K147" s="142"/>
      <c r="L147" s="143"/>
      <c r="M147" s="105"/>
      <c r="N147" s="96"/>
      <c r="O147" s="92"/>
      <c r="P147" s="95"/>
      <c r="Q147" s="91"/>
      <c r="R147" s="98"/>
    </row>
    <row r="148" spans="1:18" ht="29.45" customHeight="1" x14ac:dyDescent="0.5">
      <c r="A148" s="91"/>
      <c r="B148" s="92"/>
      <c r="C148" s="93"/>
      <c r="D148" s="138" t="s">
        <v>355</v>
      </c>
      <c r="E148" s="139"/>
      <c r="F148" s="139"/>
      <c r="G148" s="144"/>
      <c r="H148" s="98"/>
      <c r="I148" s="134"/>
      <c r="J148" s="91"/>
      <c r="K148" s="97"/>
      <c r="L148" s="96"/>
      <c r="M148" s="96"/>
      <c r="N148" s="96"/>
      <c r="O148" s="92"/>
      <c r="P148" s="95"/>
      <c r="Q148" s="91"/>
      <c r="R148" s="98"/>
    </row>
    <row r="149" spans="1:18" ht="29.45" customHeight="1" x14ac:dyDescent="0.5">
      <c r="A149" s="91"/>
      <c r="B149" s="92"/>
      <c r="C149" s="93"/>
      <c r="D149" s="138" t="s">
        <v>356</v>
      </c>
      <c r="E149" s="139"/>
      <c r="F149" s="139"/>
      <c r="G149" s="144"/>
      <c r="H149" s="98"/>
      <c r="I149" s="134"/>
      <c r="J149" s="91"/>
      <c r="K149" s="97"/>
      <c r="L149" s="96"/>
      <c r="M149" s="96"/>
      <c r="N149" s="96"/>
      <c r="O149" s="92"/>
      <c r="P149" s="95"/>
      <c r="Q149" s="91"/>
      <c r="R149" s="98"/>
    </row>
    <row r="150" spans="1:18" ht="29.45" customHeight="1" x14ac:dyDescent="0.5">
      <c r="C150" s="93"/>
      <c r="D150" s="138" t="s">
        <v>357</v>
      </c>
      <c r="E150" s="139"/>
      <c r="F150" s="139"/>
      <c r="G150" s="145"/>
    </row>
    <row r="151" spans="1:18" ht="29.45" customHeight="1" x14ac:dyDescent="0.5">
      <c r="C151" s="93"/>
      <c r="D151" s="146"/>
      <c r="E151" s="139"/>
      <c r="F151" s="139"/>
      <c r="G151" s="145"/>
    </row>
    <row r="152" spans="1:18" ht="29.45" customHeight="1" x14ac:dyDescent="0.5">
      <c r="C152" s="93"/>
      <c r="D152" s="146" t="s">
        <v>13</v>
      </c>
      <c r="E152" s="139" t="s">
        <v>6</v>
      </c>
      <c r="F152" s="139" t="s">
        <v>28</v>
      </c>
      <c r="G152" s="139" t="s">
        <v>176</v>
      </c>
    </row>
    <row r="153" spans="1:18" ht="29.45" customHeight="1" x14ac:dyDescent="0.5">
      <c r="C153" s="93"/>
      <c r="D153" s="146">
        <f>COUNTIF(J3:J120,D152)</f>
        <v>58</v>
      </c>
      <c r="E153" s="139">
        <f>COUNTIF(J3:J120,E152)</f>
        <v>1</v>
      </c>
      <c r="F153" s="139">
        <f>COUNTIF(J3:J126,F152)</f>
        <v>3</v>
      </c>
      <c r="G153" s="145">
        <f>COUNTIF(J3:J126,G152)</f>
        <v>10</v>
      </c>
    </row>
    <row r="154" spans="1:18" ht="29.45" customHeight="1" x14ac:dyDescent="0.5">
      <c r="C154" s="93"/>
      <c r="D154" s="138" t="s">
        <v>33</v>
      </c>
      <c r="E154" s="139" t="s">
        <v>17</v>
      </c>
      <c r="F154" s="139"/>
      <c r="G154" s="145"/>
      <c r="H154" s="5"/>
      <c r="I154" s="147"/>
    </row>
    <row r="155" spans="1:18" ht="29.45" customHeight="1" x14ac:dyDescent="0.5">
      <c r="C155" s="148"/>
      <c r="D155" s="146">
        <f>COUNTIF(J3:J126,D154)</f>
        <v>42</v>
      </c>
      <c r="E155" s="139">
        <f>COUNTIF(J3:J127,E154)</f>
        <v>5</v>
      </c>
      <c r="F155" s="139"/>
      <c r="G155" s="139"/>
      <c r="H155" s="5"/>
      <c r="I155" s="147"/>
    </row>
    <row r="156" spans="1:18" ht="29.45" customHeight="1" x14ac:dyDescent="0.5">
      <c r="A156" s="149"/>
      <c r="B156" s="150"/>
      <c r="C156" s="148"/>
      <c r="D156" s="146"/>
      <c r="E156" s="139" t="s">
        <v>358</v>
      </c>
      <c r="F156" s="139">
        <f>D153+D155+E153+F153+G153+E155</f>
        <v>119</v>
      </c>
      <c r="G156" s="145"/>
      <c r="J156" s="151"/>
      <c r="K156" s="152"/>
      <c r="L156" s="153"/>
      <c r="M156" s="153"/>
      <c r="O156" s="154"/>
      <c r="P156" s="10"/>
      <c r="Q156" s="149"/>
    </row>
    <row r="162" spans="1:18" ht="20.100000000000001" customHeight="1" x14ac:dyDescent="0.4">
      <c r="A162" s="149"/>
      <c r="B162" s="155"/>
      <c r="C162" s="12"/>
      <c r="D162" s="156"/>
      <c r="E162" s="157"/>
      <c r="F162" s="157"/>
      <c r="G162" s="151"/>
      <c r="H162" s="151"/>
      <c r="I162" s="153"/>
      <c r="J162" s="151"/>
      <c r="K162" s="152"/>
      <c r="L162" s="153"/>
      <c r="M162" s="153"/>
      <c r="O162" s="154"/>
      <c r="P162" s="10"/>
      <c r="Q162" s="10"/>
    </row>
    <row r="163" spans="1:18" ht="20.100000000000001" customHeight="1" x14ac:dyDescent="0.4">
      <c r="A163" s="149"/>
      <c r="B163" s="155"/>
      <c r="C163" s="12"/>
      <c r="D163" s="156"/>
      <c r="E163" s="157"/>
      <c r="F163" s="157"/>
      <c r="G163" s="151"/>
      <c r="H163" s="151"/>
      <c r="I163" s="153"/>
      <c r="J163" s="151"/>
      <c r="K163" s="152"/>
      <c r="L163" s="153"/>
      <c r="M163" s="153"/>
      <c r="O163" s="154"/>
      <c r="P163" s="10"/>
      <c r="Q163" s="10"/>
    </row>
    <row r="164" spans="1:18" ht="20.100000000000001" customHeight="1" x14ac:dyDescent="0.4">
      <c r="A164" s="149"/>
      <c r="B164" s="155"/>
      <c r="C164" s="12"/>
      <c r="D164" s="156"/>
      <c r="E164" s="157"/>
      <c r="F164" s="157"/>
      <c r="G164" s="151"/>
      <c r="H164" s="151"/>
      <c r="I164" s="153"/>
      <c r="J164" s="151"/>
      <c r="K164" s="152"/>
      <c r="L164" s="153"/>
      <c r="M164" s="153"/>
      <c r="O164" s="154"/>
      <c r="P164" s="10"/>
      <c r="Q164" s="10"/>
    </row>
    <row r="165" spans="1:18" ht="20.100000000000001" customHeight="1" x14ac:dyDescent="0.4">
      <c r="A165" s="149"/>
      <c r="B165" s="155"/>
      <c r="D165" s="156"/>
      <c r="E165" s="157"/>
      <c r="F165" s="157"/>
      <c r="G165" s="151"/>
      <c r="H165" s="151"/>
      <c r="I165" s="153"/>
      <c r="J165" s="151"/>
      <c r="K165" s="152"/>
      <c r="L165" s="153"/>
      <c r="M165" s="153"/>
      <c r="O165" s="154"/>
      <c r="P165" s="10"/>
      <c r="Q165" s="10"/>
    </row>
    <row r="166" spans="1:18" ht="20.100000000000001" customHeight="1" x14ac:dyDescent="0.4">
      <c r="A166" s="149"/>
      <c r="C166" s="12"/>
    </row>
    <row r="167" spans="1:18" ht="20.100000000000001" customHeight="1" x14ac:dyDescent="0.4">
      <c r="A167" s="149"/>
      <c r="B167" s="155"/>
      <c r="C167" s="12"/>
      <c r="D167" s="156"/>
      <c r="E167" s="157"/>
      <c r="F167" s="157"/>
      <c r="G167" s="151"/>
      <c r="H167" s="151"/>
      <c r="I167" s="153"/>
      <c r="J167" s="151"/>
      <c r="K167" s="152"/>
      <c r="L167" s="153"/>
      <c r="M167" s="153"/>
      <c r="O167" s="154"/>
      <c r="P167" s="10"/>
      <c r="Q167" s="10"/>
    </row>
    <row r="168" spans="1:18" ht="20.100000000000001" customHeight="1" x14ac:dyDescent="0.4">
      <c r="A168" s="149"/>
      <c r="B168" s="155"/>
      <c r="C168" s="12"/>
      <c r="D168" s="156"/>
      <c r="E168" s="157"/>
      <c r="F168" s="157"/>
      <c r="G168" s="151"/>
      <c r="H168" s="151"/>
      <c r="I168" s="153"/>
      <c r="J168" s="151"/>
      <c r="K168" s="152"/>
      <c r="L168" s="153"/>
      <c r="M168" s="153"/>
      <c r="O168" s="154"/>
      <c r="P168" s="10"/>
      <c r="Q168" s="10"/>
    </row>
    <row r="169" spans="1:18" ht="20.100000000000001" customHeight="1" x14ac:dyDescent="0.4">
      <c r="A169" s="149"/>
      <c r="B169" s="155"/>
      <c r="C169" s="12"/>
      <c r="D169" s="156"/>
      <c r="E169" s="157"/>
      <c r="F169" s="157"/>
      <c r="G169" s="151"/>
      <c r="H169" s="151"/>
      <c r="I169" s="153"/>
      <c r="J169" s="151"/>
      <c r="K169" s="152"/>
      <c r="L169" s="153"/>
      <c r="M169" s="153"/>
      <c r="O169" s="154"/>
      <c r="P169" s="10"/>
      <c r="Q169" s="10"/>
    </row>
    <row r="170" spans="1:18" ht="20.100000000000001" customHeight="1" x14ac:dyDescent="0.4">
      <c r="A170" s="149"/>
      <c r="B170" s="155"/>
      <c r="C170" s="12"/>
      <c r="D170" s="156"/>
      <c r="E170" s="157"/>
      <c r="F170" s="157"/>
      <c r="G170" s="151"/>
      <c r="H170" s="151"/>
      <c r="I170" s="153"/>
      <c r="J170" s="151"/>
      <c r="K170" s="152"/>
      <c r="L170" s="153"/>
      <c r="M170" s="153"/>
      <c r="O170" s="154"/>
      <c r="P170" s="10"/>
      <c r="Q170" s="10"/>
    </row>
    <row r="171" spans="1:18" ht="20.100000000000001" customHeight="1" x14ac:dyDescent="0.4">
      <c r="A171" s="149"/>
      <c r="D171" s="156"/>
      <c r="E171" s="157"/>
      <c r="F171" s="157"/>
      <c r="G171" s="151"/>
      <c r="H171" s="151"/>
      <c r="I171" s="153"/>
      <c r="J171" s="151"/>
      <c r="K171" s="152"/>
      <c r="L171" s="153"/>
      <c r="M171" s="153"/>
      <c r="O171" s="154"/>
      <c r="P171" s="10"/>
      <c r="Q171" s="10"/>
    </row>
    <row r="172" spans="1:18" s="5" customFormat="1" ht="20.100000000000001" customHeight="1" x14ac:dyDescent="0.4">
      <c r="A172" s="149"/>
      <c r="B172" s="150"/>
      <c r="C172" s="12"/>
      <c r="D172" s="158"/>
      <c r="E172" s="157"/>
      <c r="H172" s="151"/>
      <c r="I172" s="147"/>
      <c r="K172" s="8"/>
      <c r="L172" s="147"/>
      <c r="M172" s="159"/>
      <c r="N172" s="7"/>
      <c r="O172" s="150"/>
      <c r="R172" s="8"/>
    </row>
    <row r="173" spans="1:18" ht="20.100000000000001" customHeight="1" x14ac:dyDescent="0.4">
      <c r="A173" s="149"/>
      <c r="B173" s="155"/>
      <c r="C173" s="12"/>
      <c r="D173" s="156"/>
      <c r="E173" s="157"/>
      <c r="F173" s="157"/>
      <c r="G173" s="151"/>
      <c r="H173" s="151"/>
      <c r="I173" s="153"/>
      <c r="J173" s="151"/>
      <c r="K173" s="152"/>
      <c r="L173" s="153"/>
      <c r="M173" s="153"/>
      <c r="O173" s="154"/>
      <c r="P173" s="10"/>
      <c r="Q173" s="5"/>
    </row>
    <row r="174" spans="1:18" ht="20.100000000000001" customHeight="1" x14ac:dyDescent="0.4">
      <c r="A174" s="149"/>
      <c r="B174" s="155"/>
      <c r="C174" s="12"/>
      <c r="D174" s="156"/>
      <c r="E174" s="157"/>
      <c r="F174" s="157"/>
      <c r="G174" s="151"/>
      <c r="H174" s="151"/>
      <c r="I174" s="153"/>
      <c r="J174" s="151"/>
      <c r="K174" s="152"/>
      <c r="L174" s="153"/>
      <c r="M174" s="153"/>
      <c r="O174" s="154"/>
      <c r="P174" s="10"/>
      <c r="Q174" s="5"/>
    </row>
    <row r="175" spans="1:18" ht="20.100000000000001" customHeight="1" x14ac:dyDescent="0.4">
      <c r="A175" s="149"/>
      <c r="B175" s="155"/>
      <c r="C175" s="12"/>
      <c r="D175" s="156"/>
      <c r="E175" s="157"/>
      <c r="F175" s="157"/>
      <c r="G175" s="151"/>
      <c r="H175" s="151"/>
      <c r="I175" s="153"/>
      <c r="J175" s="151"/>
      <c r="K175" s="152"/>
      <c r="L175" s="153"/>
      <c r="M175" s="153"/>
      <c r="O175" s="154"/>
      <c r="P175" s="10"/>
      <c r="Q175" s="5"/>
    </row>
    <row r="176" spans="1:18" ht="20.100000000000001" customHeight="1" x14ac:dyDescent="0.4">
      <c r="A176" s="149"/>
      <c r="B176" s="155"/>
      <c r="C176" s="12"/>
      <c r="D176" s="156"/>
      <c r="E176" s="157"/>
      <c r="F176" s="157"/>
      <c r="G176" s="151"/>
      <c r="H176" s="151"/>
      <c r="I176" s="153"/>
      <c r="J176" s="151"/>
      <c r="K176" s="152"/>
      <c r="L176" s="153"/>
      <c r="M176" s="153"/>
      <c r="O176" s="154"/>
      <c r="P176" s="10"/>
      <c r="Q176" s="5"/>
    </row>
    <row r="177" spans="1:17" ht="20.100000000000001" customHeight="1" x14ac:dyDescent="0.4">
      <c r="A177" s="149"/>
      <c r="B177" s="155"/>
      <c r="C177" s="12"/>
      <c r="D177" s="156"/>
      <c r="E177" s="157"/>
      <c r="F177" s="157"/>
      <c r="G177" s="151"/>
      <c r="H177" s="151"/>
      <c r="I177" s="153"/>
      <c r="J177" s="151"/>
      <c r="K177" s="152"/>
      <c r="L177" s="153"/>
      <c r="M177" s="153"/>
      <c r="O177" s="154"/>
      <c r="P177" s="10"/>
      <c r="Q177" s="5"/>
    </row>
    <row r="178" spans="1:17" ht="20.100000000000001" customHeight="1" x14ac:dyDescent="0.4">
      <c r="A178" s="149"/>
      <c r="B178" s="155"/>
      <c r="C178" s="12"/>
      <c r="D178" s="156"/>
      <c r="E178" s="157"/>
      <c r="F178" s="157"/>
      <c r="G178" s="151"/>
      <c r="H178" s="151"/>
      <c r="I178" s="153"/>
      <c r="J178" s="151"/>
      <c r="K178" s="152"/>
      <c r="L178" s="153"/>
      <c r="M178" s="153"/>
      <c r="O178" s="154"/>
      <c r="P178" s="10"/>
      <c r="Q178" s="5"/>
    </row>
    <row r="179" spans="1:17" ht="20.100000000000001" customHeight="1" x14ac:dyDescent="0.4">
      <c r="A179" s="149"/>
      <c r="B179" s="155"/>
      <c r="C179" s="12"/>
      <c r="D179" s="156"/>
      <c r="E179" s="157"/>
      <c r="F179" s="157"/>
      <c r="G179" s="151"/>
      <c r="H179" s="151"/>
      <c r="I179" s="153"/>
      <c r="J179" s="151"/>
      <c r="K179" s="152"/>
      <c r="L179" s="153"/>
      <c r="M179" s="153"/>
      <c r="O179" s="154"/>
      <c r="P179" s="10"/>
      <c r="Q179" s="5"/>
    </row>
    <row r="180" spans="1:17" ht="20.100000000000001" customHeight="1" x14ac:dyDescent="0.4">
      <c r="A180" s="149"/>
      <c r="B180" s="155"/>
      <c r="C180" s="12"/>
      <c r="D180" s="156"/>
      <c r="E180" s="157"/>
      <c r="F180" s="157"/>
      <c r="G180" s="151"/>
      <c r="H180" s="151"/>
      <c r="I180" s="153"/>
      <c r="J180" s="151"/>
      <c r="K180" s="152"/>
      <c r="L180" s="153"/>
      <c r="M180" s="153"/>
      <c r="O180" s="154"/>
      <c r="P180" s="10"/>
      <c r="Q180" s="5"/>
    </row>
    <row r="181" spans="1:17" ht="20.100000000000001" customHeight="1" x14ac:dyDescent="0.4">
      <c r="A181" s="149"/>
      <c r="B181" s="155"/>
      <c r="C181" s="12"/>
      <c r="D181" s="156"/>
      <c r="E181" s="157"/>
      <c r="F181" s="157"/>
      <c r="G181" s="151"/>
      <c r="H181" s="151"/>
      <c r="I181" s="153"/>
      <c r="J181" s="151"/>
      <c r="K181" s="152"/>
      <c r="L181" s="153"/>
      <c r="M181" s="153"/>
      <c r="O181" s="154"/>
      <c r="P181" s="10"/>
      <c r="Q181" s="5"/>
    </row>
    <row r="182" spans="1:17" ht="20.100000000000001" customHeight="1" x14ac:dyDescent="0.4">
      <c r="A182" s="149"/>
      <c r="B182" s="155"/>
      <c r="C182" s="12"/>
      <c r="D182" s="156"/>
      <c r="E182" s="157"/>
      <c r="F182" s="157"/>
      <c r="G182" s="151"/>
      <c r="H182" s="151"/>
      <c r="I182" s="153"/>
      <c r="J182" s="151"/>
      <c r="K182" s="152"/>
      <c r="L182" s="153"/>
      <c r="M182" s="153"/>
      <c r="O182" s="154"/>
      <c r="P182" s="10"/>
      <c r="Q182" s="5"/>
    </row>
    <row r="183" spans="1:17" ht="20.100000000000001" customHeight="1" x14ac:dyDescent="0.4">
      <c r="A183" s="149"/>
      <c r="B183" s="155"/>
      <c r="C183" s="12"/>
      <c r="D183" s="156"/>
      <c r="E183" s="157"/>
      <c r="F183" s="157"/>
      <c r="G183" s="151"/>
      <c r="H183" s="151"/>
      <c r="I183" s="153"/>
      <c r="J183" s="151"/>
      <c r="K183" s="152"/>
      <c r="L183" s="153"/>
      <c r="M183" s="153"/>
      <c r="O183" s="154"/>
      <c r="P183" s="10"/>
      <c r="Q183" s="5"/>
    </row>
    <row r="184" spans="1:17" ht="20.100000000000001" customHeight="1" x14ac:dyDescent="0.4">
      <c r="A184" s="149"/>
      <c r="B184" s="155"/>
      <c r="C184" s="12"/>
      <c r="D184" s="156"/>
      <c r="E184" s="157"/>
      <c r="F184" s="157"/>
      <c r="G184" s="151"/>
      <c r="H184" s="151"/>
      <c r="I184" s="153"/>
      <c r="J184" s="151"/>
      <c r="K184" s="152"/>
      <c r="L184" s="153"/>
      <c r="M184" s="153"/>
      <c r="O184" s="154"/>
      <c r="P184" s="10"/>
      <c r="Q184" s="5"/>
    </row>
    <row r="185" spans="1:17" ht="20.100000000000001" customHeight="1" x14ac:dyDescent="0.4">
      <c r="A185" s="149"/>
      <c r="B185" s="155"/>
      <c r="C185" s="12"/>
      <c r="D185" s="156"/>
      <c r="E185" s="157"/>
      <c r="F185" s="157"/>
      <c r="G185" s="151"/>
      <c r="H185" s="151"/>
      <c r="I185" s="153"/>
      <c r="J185" s="151"/>
      <c r="K185" s="152"/>
      <c r="L185" s="153"/>
      <c r="M185" s="153"/>
      <c r="O185" s="154"/>
      <c r="P185" s="10"/>
      <c r="Q185" s="5"/>
    </row>
    <row r="186" spans="1:17" ht="20.100000000000001" customHeight="1" x14ac:dyDescent="0.4">
      <c r="A186" s="149"/>
      <c r="B186" s="155"/>
      <c r="C186" s="12"/>
      <c r="D186" s="160"/>
      <c r="E186" s="157"/>
      <c r="F186" s="157"/>
      <c r="G186" s="151"/>
      <c r="H186" s="151"/>
      <c r="I186" s="153"/>
      <c r="J186" s="151"/>
      <c r="K186" s="152"/>
      <c r="L186" s="153"/>
      <c r="M186" s="153"/>
      <c r="O186" s="154"/>
      <c r="P186" s="10"/>
      <c r="Q186" s="5"/>
    </row>
    <row r="187" spans="1:17" ht="20.100000000000001" customHeight="1" x14ac:dyDescent="0.4">
      <c r="A187" s="149"/>
      <c r="B187" s="155"/>
      <c r="C187" s="12"/>
      <c r="D187" s="156"/>
      <c r="E187" s="157"/>
      <c r="F187" s="157"/>
      <c r="G187" s="151"/>
      <c r="H187" s="151"/>
      <c r="I187" s="153"/>
      <c r="J187" s="151"/>
      <c r="K187" s="152"/>
      <c r="L187" s="153"/>
      <c r="M187" s="153"/>
      <c r="O187" s="154"/>
      <c r="P187" s="10"/>
      <c r="Q187" s="5"/>
    </row>
    <row r="188" spans="1:17" ht="20.100000000000001" customHeight="1" x14ac:dyDescent="0.4">
      <c r="A188" s="149"/>
      <c r="B188" s="155"/>
      <c r="C188" s="12"/>
      <c r="D188" s="156"/>
      <c r="E188" s="157"/>
      <c r="F188" s="157"/>
      <c r="G188" s="151"/>
      <c r="H188" s="151"/>
      <c r="I188" s="153"/>
      <c r="J188" s="151"/>
      <c r="K188" s="152"/>
      <c r="L188" s="153"/>
      <c r="M188" s="153"/>
      <c r="O188" s="154"/>
      <c r="P188" s="10"/>
      <c r="Q188" s="5"/>
    </row>
    <row r="189" spans="1:17" ht="20.100000000000001" customHeight="1" x14ac:dyDescent="0.4">
      <c r="A189" s="149"/>
      <c r="B189" s="155"/>
      <c r="C189" s="12"/>
      <c r="D189" s="156"/>
      <c r="E189" s="157"/>
      <c r="F189" s="157"/>
      <c r="G189" s="151"/>
      <c r="H189" s="151"/>
      <c r="I189" s="153"/>
      <c r="J189" s="151"/>
      <c r="K189" s="152"/>
      <c r="L189" s="153"/>
      <c r="M189" s="153"/>
      <c r="O189" s="154"/>
      <c r="P189" s="10"/>
      <c r="Q189" s="5"/>
    </row>
    <row r="190" spans="1:17" ht="20.100000000000001" customHeight="1" x14ac:dyDescent="0.4">
      <c r="A190" s="149"/>
      <c r="B190" s="155"/>
      <c r="C190" s="12"/>
      <c r="D190" s="156"/>
      <c r="E190" s="157"/>
      <c r="F190" s="157"/>
      <c r="G190" s="151"/>
      <c r="H190" s="151"/>
      <c r="I190" s="153"/>
      <c r="J190" s="151"/>
      <c r="K190" s="152"/>
      <c r="L190" s="153"/>
      <c r="M190" s="153"/>
      <c r="O190" s="154"/>
      <c r="P190" s="10"/>
      <c r="Q190" s="5"/>
    </row>
    <row r="191" spans="1:17" ht="20.100000000000001" customHeight="1" x14ac:dyDescent="0.4">
      <c r="A191" s="149"/>
      <c r="B191" s="155"/>
      <c r="C191" s="12"/>
      <c r="D191" s="156"/>
      <c r="E191" s="157"/>
      <c r="F191" s="157"/>
      <c r="G191" s="151"/>
      <c r="H191" s="151"/>
      <c r="I191" s="153"/>
      <c r="J191" s="151"/>
      <c r="K191" s="152"/>
      <c r="L191" s="153"/>
      <c r="M191" s="153"/>
      <c r="O191" s="154"/>
      <c r="P191" s="10"/>
      <c r="Q191" s="5"/>
    </row>
    <row r="192" spans="1:17" ht="20.100000000000001" customHeight="1" x14ac:dyDescent="0.4">
      <c r="A192" s="149"/>
      <c r="B192" s="155"/>
      <c r="C192" s="12"/>
      <c r="D192" s="156"/>
      <c r="E192" s="157"/>
      <c r="F192" s="157"/>
      <c r="G192" s="151"/>
      <c r="H192" s="151"/>
      <c r="I192" s="153"/>
      <c r="J192" s="151"/>
      <c r="K192" s="152"/>
      <c r="L192" s="153"/>
      <c r="M192" s="153"/>
      <c r="O192" s="154"/>
      <c r="P192" s="10"/>
      <c r="Q192" s="5"/>
    </row>
    <row r="193" spans="1:18" ht="20.100000000000001" customHeight="1" x14ac:dyDescent="0.4">
      <c r="A193" s="149"/>
      <c r="B193" s="155"/>
      <c r="C193" s="12"/>
      <c r="D193" s="156"/>
      <c r="E193" s="157"/>
      <c r="F193" s="157"/>
      <c r="G193" s="151"/>
      <c r="H193" s="151"/>
      <c r="I193" s="153"/>
      <c r="J193" s="151"/>
      <c r="K193" s="152"/>
      <c r="L193" s="153"/>
      <c r="M193" s="153"/>
      <c r="O193" s="154"/>
      <c r="P193" s="10"/>
      <c r="Q193" s="5"/>
    </row>
    <row r="194" spans="1:18" ht="20.100000000000001" customHeight="1" x14ac:dyDescent="0.4">
      <c r="A194" s="149"/>
      <c r="B194" s="155"/>
      <c r="C194" s="12"/>
      <c r="D194" s="160"/>
      <c r="E194" s="157"/>
      <c r="F194" s="157"/>
      <c r="G194" s="151"/>
      <c r="H194" s="151"/>
      <c r="I194" s="153"/>
      <c r="J194" s="151"/>
      <c r="K194" s="152"/>
      <c r="L194" s="153"/>
      <c r="M194" s="153"/>
      <c r="O194" s="154"/>
      <c r="P194" s="10"/>
      <c r="Q194" s="5"/>
    </row>
    <row r="195" spans="1:18" ht="20.100000000000001" customHeight="1" x14ac:dyDescent="0.4">
      <c r="A195" s="149"/>
      <c r="B195" s="155"/>
      <c r="C195" s="12"/>
      <c r="D195" s="160"/>
      <c r="E195" s="157"/>
      <c r="F195" s="157"/>
      <c r="G195" s="151"/>
      <c r="H195" s="151"/>
      <c r="I195" s="153"/>
      <c r="J195" s="151"/>
      <c r="K195" s="152"/>
      <c r="L195" s="153"/>
      <c r="M195" s="153"/>
      <c r="O195" s="154"/>
      <c r="P195" s="10"/>
      <c r="Q195" s="5"/>
    </row>
    <row r="196" spans="1:18" ht="20.100000000000001" customHeight="1" x14ac:dyDescent="0.4">
      <c r="A196" s="149"/>
      <c r="C196" s="12"/>
      <c r="D196" s="156"/>
      <c r="E196" s="157"/>
      <c r="F196" s="157"/>
      <c r="G196" s="151"/>
      <c r="H196" s="151"/>
      <c r="I196" s="153"/>
      <c r="J196" s="151"/>
      <c r="K196" s="152"/>
      <c r="L196" s="153"/>
      <c r="M196" s="153"/>
      <c r="O196" s="154"/>
      <c r="P196" s="10"/>
      <c r="Q196" s="5"/>
    </row>
    <row r="197" spans="1:18" ht="20.100000000000001" customHeight="1" x14ac:dyDescent="0.4">
      <c r="A197" s="149"/>
      <c r="C197" s="12"/>
      <c r="D197" s="156"/>
      <c r="E197" s="157"/>
      <c r="F197" s="157"/>
      <c r="G197" s="151"/>
      <c r="H197" s="151"/>
      <c r="I197" s="153"/>
      <c r="J197" s="151"/>
      <c r="K197" s="152"/>
      <c r="L197" s="153"/>
      <c r="M197" s="153"/>
      <c r="O197" s="154"/>
      <c r="P197" s="10"/>
      <c r="Q197" s="5"/>
    </row>
    <row r="198" spans="1:18" ht="20.100000000000001" customHeight="1" x14ac:dyDescent="0.4">
      <c r="A198" s="149"/>
      <c r="B198" s="150"/>
      <c r="C198" s="12"/>
      <c r="D198" s="156"/>
      <c r="E198" s="157"/>
      <c r="F198" s="157"/>
      <c r="G198" s="151"/>
      <c r="H198" s="151"/>
      <c r="I198" s="153"/>
      <c r="J198" s="151"/>
      <c r="K198" s="152"/>
      <c r="L198" s="153"/>
      <c r="M198" s="153"/>
      <c r="O198" s="154"/>
      <c r="P198" s="10"/>
      <c r="Q198" s="5"/>
    </row>
    <row r="199" spans="1:18" ht="20.100000000000001" customHeight="1" x14ac:dyDescent="0.4">
      <c r="A199" s="149"/>
      <c r="B199" s="11"/>
      <c r="C199" s="12"/>
      <c r="D199" s="156"/>
      <c r="E199" s="157"/>
      <c r="F199" s="157"/>
      <c r="G199" s="151"/>
      <c r="H199" s="151"/>
      <c r="I199" s="153"/>
      <c r="J199" s="151"/>
      <c r="K199" s="152"/>
      <c r="L199" s="153"/>
      <c r="M199" s="153"/>
      <c r="O199" s="154"/>
      <c r="P199" s="10"/>
      <c r="Q199" s="5"/>
    </row>
    <row r="200" spans="1:18" ht="20.100000000000001" customHeight="1" x14ac:dyDescent="0.4">
      <c r="A200" s="149"/>
      <c r="B200" s="11"/>
      <c r="C200" s="12"/>
      <c r="D200" s="160"/>
      <c r="E200" s="157"/>
      <c r="F200" s="157"/>
      <c r="G200" s="151"/>
      <c r="H200" s="151"/>
      <c r="I200" s="153"/>
      <c r="J200" s="151"/>
      <c r="K200" s="152"/>
      <c r="L200" s="153"/>
      <c r="M200" s="153"/>
      <c r="O200" s="154"/>
      <c r="P200" s="10"/>
      <c r="Q200" s="5"/>
    </row>
    <row r="201" spans="1:18" ht="20.100000000000001" customHeight="1" x14ac:dyDescent="0.4">
      <c r="A201" s="149"/>
      <c r="C201" s="12"/>
      <c r="D201" s="156"/>
      <c r="E201" s="157"/>
      <c r="F201" s="157"/>
      <c r="G201" s="151"/>
      <c r="H201" s="151"/>
      <c r="I201" s="153"/>
      <c r="J201" s="151"/>
      <c r="K201" s="152"/>
      <c r="L201" s="153"/>
      <c r="M201" s="153"/>
      <c r="O201" s="154"/>
      <c r="P201" s="10"/>
      <c r="Q201" s="5"/>
    </row>
    <row r="202" spans="1:18" s="5" customFormat="1" ht="20.100000000000001" customHeight="1" x14ac:dyDescent="0.4">
      <c r="A202" s="149"/>
      <c r="B202" s="11"/>
      <c r="C202" s="12"/>
      <c r="D202" s="161"/>
      <c r="E202" s="157"/>
      <c r="F202" s="157"/>
      <c r="G202" s="157"/>
      <c r="H202" s="157"/>
      <c r="I202" s="159"/>
      <c r="J202" s="157"/>
      <c r="K202" s="152"/>
      <c r="L202" s="153"/>
      <c r="M202" s="153"/>
      <c r="N202" s="7"/>
      <c r="O202" s="162"/>
      <c r="P202" s="157"/>
      <c r="R202" s="8"/>
    </row>
    <row r="203" spans="1:18" s="5" customFormat="1" ht="20.100000000000001" customHeight="1" x14ac:dyDescent="0.4">
      <c r="A203" s="149"/>
      <c r="B203" s="11"/>
      <c r="C203" s="12"/>
      <c r="D203" s="163"/>
      <c r="E203" s="157"/>
      <c r="F203" s="157"/>
      <c r="G203" s="157"/>
      <c r="H203" s="157"/>
      <c r="I203" s="159"/>
      <c r="J203" s="157"/>
      <c r="K203" s="152"/>
      <c r="L203" s="153"/>
      <c r="M203" s="153"/>
      <c r="N203" s="7"/>
      <c r="O203" s="162"/>
      <c r="P203" s="157"/>
      <c r="R203" s="8"/>
    </row>
    <row r="204" spans="1:18" s="5" customFormat="1" ht="20.100000000000001" customHeight="1" x14ac:dyDescent="0.4">
      <c r="A204" s="149"/>
      <c r="B204" s="11"/>
      <c r="C204" s="12"/>
      <c r="D204" s="163"/>
      <c r="E204" s="157"/>
      <c r="F204" s="157"/>
      <c r="G204" s="157"/>
      <c r="H204" s="157"/>
      <c r="I204" s="159"/>
      <c r="J204" s="157"/>
      <c r="K204" s="152"/>
      <c r="L204" s="153"/>
      <c r="M204" s="153"/>
      <c r="N204" s="7"/>
      <c r="O204" s="162"/>
      <c r="P204" s="157"/>
      <c r="R204" s="8"/>
    </row>
    <row r="205" spans="1:18" s="5" customFormat="1" ht="20.100000000000001" customHeight="1" x14ac:dyDescent="0.4">
      <c r="A205" s="149"/>
      <c r="B205" s="11"/>
      <c r="C205" s="12"/>
      <c r="D205" s="163"/>
      <c r="E205" s="157"/>
      <c r="F205" s="157"/>
      <c r="G205" s="157"/>
      <c r="H205" s="157"/>
      <c r="I205" s="159"/>
      <c r="J205" s="157"/>
      <c r="K205" s="152"/>
      <c r="L205" s="153"/>
      <c r="M205" s="153"/>
      <c r="N205" s="7"/>
      <c r="O205" s="162"/>
      <c r="P205" s="157"/>
      <c r="R205" s="8"/>
    </row>
    <row r="206" spans="1:18" s="5" customFormat="1" ht="20.100000000000001" customHeight="1" x14ac:dyDescent="0.4">
      <c r="A206" s="149"/>
      <c r="B206" s="11"/>
      <c r="C206" s="12"/>
      <c r="D206" s="163"/>
      <c r="E206" s="157"/>
      <c r="F206" s="157"/>
      <c r="G206" s="157"/>
      <c r="H206" s="157"/>
      <c r="I206" s="159"/>
      <c r="J206" s="157"/>
      <c r="K206" s="152"/>
      <c r="L206" s="153"/>
      <c r="M206" s="153"/>
      <c r="N206" s="7"/>
      <c r="O206" s="162"/>
      <c r="P206" s="157"/>
      <c r="R206" s="8"/>
    </row>
    <row r="207" spans="1:18" ht="20.100000000000001" customHeight="1" x14ac:dyDescent="0.4">
      <c r="A207" s="149"/>
      <c r="B207" s="155"/>
      <c r="C207" s="12"/>
      <c r="D207" s="156"/>
      <c r="E207" s="157"/>
      <c r="F207" s="157"/>
      <c r="G207" s="151"/>
      <c r="H207" s="151"/>
      <c r="I207" s="153"/>
      <c r="J207" s="151"/>
      <c r="K207" s="152"/>
      <c r="L207" s="153"/>
      <c r="M207" s="153"/>
      <c r="O207" s="154"/>
      <c r="P207" s="10"/>
      <c r="Q207" s="5"/>
    </row>
    <row r="208" spans="1:18" ht="20.100000000000001" customHeight="1" x14ac:dyDescent="0.4">
      <c r="A208" s="149"/>
      <c r="B208" s="155"/>
      <c r="C208" s="12"/>
      <c r="D208" s="156"/>
      <c r="E208" s="157"/>
      <c r="F208" s="157"/>
      <c r="G208" s="151"/>
      <c r="H208" s="151"/>
      <c r="I208" s="153"/>
      <c r="J208" s="151"/>
      <c r="K208" s="152"/>
      <c r="L208" s="153"/>
      <c r="M208" s="153"/>
      <c r="O208" s="154"/>
      <c r="P208" s="10"/>
      <c r="Q208" s="5"/>
    </row>
    <row r="209" spans="1:17" ht="20.100000000000001" customHeight="1" x14ac:dyDescent="0.4">
      <c r="A209" s="149"/>
      <c r="B209" s="155"/>
      <c r="C209" s="12"/>
      <c r="D209" s="156"/>
      <c r="E209" s="157"/>
      <c r="F209" s="157"/>
      <c r="G209" s="151"/>
      <c r="H209" s="151"/>
      <c r="I209" s="153"/>
      <c r="J209" s="151"/>
      <c r="K209" s="152"/>
      <c r="L209" s="153"/>
      <c r="M209" s="153"/>
      <c r="O209" s="154"/>
      <c r="P209" s="10"/>
      <c r="Q209" s="5"/>
    </row>
    <row r="210" spans="1:17" ht="20.100000000000001" customHeight="1" x14ac:dyDescent="0.4">
      <c r="A210" s="149"/>
      <c r="B210" s="155"/>
      <c r="C210" s="12"/>
      <c r="D210" s="156"/>
      <c r="E210" s="157"/>
      <c r="F210" s="157"/>
      <c r="G210" s="151"/>
      <c r="H210" s="151"/>
      <c r="I210" s="153"/>
      <c r="J210" s="151"/>
      <c r="K210" s="152"/>
      <c r="L210" s="153"/>
      <c r="M210" s="153"/>
      <c r="O210" s="154"/>
      <c r="P210" s="10"/>
      <c r="Q210" s="5"/>
    </row>
    <row r="211" spans="1:17" ht="20.100000000000001" customHeight="1" x14ac:dyDescent="0.4">
      <c r="A211" s="149"/>
      <c r="B211" s="155"/>
      <c r="C211" s="12"/>
      <c r="D211" s="160"/>
      <c r="E211" s="157"/>
      <c r="F211" s="157"/>
      <c r="G211" s="151"/>
      <c r="H211" s="151"/>
      <c r="I211" s="153"/>
      <c r="J211" s="151"/>
      <c r="K211" s="152"/>
      <c r="L211" s="153"/>
      <c r="M211" s="153"/>
      <c r="O211" s="154"/>
      <c r="P211" s="10"/>
      <c r="Q211" s="5"/>
    </row>
    <row r="212" spans="1:17" ht="20.100000000000001" customHeight="1" x14ac:dyDescent="0.4">
      <c r="A212" s="149"/>
      <c r="B212" s="155"/>
      <c r="C212" s="12"/>
      <c r="D212" s="156"/>
      <c r="E212" s="157"/>
      <c r="F212" s="157"/>
      <c r="G212" s="151"/>
      <c r="H212" s="151"/>
      <c r="I212" s="153"/>
      <c r="J212" s="151"/>
      <c r="K212" s="152"/>
      <c r="L212" s="153"/>
      <c r="M212" s="153"/>
      <c r="O212" s="154"/>
      <c r="P212" s="10"/>
      <c r="Q212" s="5"/>
    </row>
    <row r="213" spans="1:17" ht="20.100000000000001" customHeight="1" x14ac:dyDescent="0.4">
      <c r="A213" s="149"/>
      <c r="B213" s="155"/>
      <c r="C213" s="12"/>
      <c r="D213" s="156"/>
      <c r="E213" s="157"/>
      <c r="F213" s="157"/>
      <c r="G213" s="151"/>
      <c r="H213" s="151"/>
      <c r="I213" s="153"/>
      <c r="J213" s="151"/>
      <c r="K213" s="152"/>
      <c r="L213" s="153"/>
      <c r="M213" s="153"/>
      <c r="O213" s="154"/>
      <c r="P213" s="10"/>
      <c r="Q213" s="5"/>
    </row>
    <row r="214" spans="1:17" ht="20.100000000000001" customHeight="1" x14ac:dyDescent="0.4">
      <c r="A214" s="149"/>
      <c r="B214" s="155"/>
      <c r="D214" s="156"/>
      <c r="E214" s="157"/>
      <c r="F214" s="157"/>
      <c r="G214" s="151"/>
      <c r="H214" s="151"/>
      <c r="I214" s="153"/>
      <c r="J214" s="151"/>
      <c r="K214" s="152"/>
      <c r="L214" s="153"/>
      <c r="M214" s="153"/>
      <c r="O214" s="154"/>
      <c r="P214" s="10"/>
      <c r="Q214" s="5"/>
    </row>
    <row r="215" spans="1:17" ht="20.100000000000001" customHeight="1" x14ac:dyDescent="0.4">
      <c r="A215" s="149"/>
      <c r="C215" s="12"/>
    </row>
    <row r="216" spans="1:17" ht="20.100000000000001" customHeight="1" x14ac:dyDescent="0.4">
      <c r="A216" s="149"/>
      <c r="B216" s="155"/>
      <c r="C216" s="12"/>
      <c r="D216" s="156"/>
      <c r="E216" s="157"/>
      <c r="F216" s="157"/>
      <c r="G216" s="151"/>
      <c r="H216" s="151"/>
      <c r="I216" s="153"/>
      <c r="J216" s="151"/>
      <c r="K216" s="152"/>
      <c r="L216" s="153"/>
      <c r="M216" s="153"/>
      <c r="O216" s="154"/>
      <c r="P216" s="10"/>
      <c r="Q216" s="5"/>
    </row>
    <row r="217" spans="1:17" ht="20.100000000000001" customHeight="1" x14ac:dyDescent="0.4">
      <c r="A217" s="149"/>
      <c r="B217" s="155"/>
      <c r="C217" s="12"/>
      <c r="D217" s="156"/>
      <c r="E217" s="157"/>
      <c r="F217" s="157"/>
      <c r="G217" s="151"/>
      <c r="H217" s="151"/>
      <c r="I217" s="153"/>
      <c r="J217" s="151"/>
      <c r="K217" s="152"/>
      <c r="L217" s="153"/>
      <c r="M217" s="153"/>
      <c r="O217" s="154"/>
      <c r="P217" s="10"/>
      <c r="Q217" s="5"/>
    </row>
    <row r="218" spans="1:17" ht="20.100000000000001" customHeight="1" x14ac:dyDescent="0.4">
      <c r="A218" s="149"/>
      <c r="B218" s="155"/>
      <c r="C218" s="12"/>
      <c r="D218" s="156"/>
      <c r="E218" s="157"/>
      <c r="F218" s="157"/>
      <c r="G218" s="151"/>
      <c r="H218" s="151"/>
      <c r="I218" s="153"/>
      <c r="J218" s="151"/>
      <c r="K218" s="152"/>
      <c r="L218" s="153"/>
      <c r="M218" s="153"/>
      <c r="O218" s="154"/>
      <c r="P218" s="10"/>
      <c r="Q218" s="5"/>
    </row>
    <row r="219" spans="1:17" ht="20.100000000000001" customHeight="1" x14ac:dyDescent="0.4">
      <c r="A219" s="149"/>
      <c r="B219" s="155"/>
      <c r="C219" s="12"/>
      <c r="D219" s="160"/>
      <c r="E219" s="157"/>
      <c r="F219" s="157"/>
      <c r="G219" s="151"/>
      <c r="H219" s="151"/>
      <c r="I219" s="153"/>
      <c r="J219" s="151"/>
      <c r="K219" s="152"/>
      <c r="L219" s="153"/>
      <c r="M219" s="153"/>
      <c r="O219" s="154"/>
      <c r="P219" s="10"/>
      <c r="Q219" s="5"/>
    </row>
    <row r="220" spans="1:17" ht="20.100000000000001" customHeight="1" x14ac:dyDescent="0.4">
      <c r="A220" s="149"/>
      <c r="B220" s="155"/>
      <c r="C220" s="12"/>
      <c r="D220" s="160"/>
      <c r="E220" s="157"/>
      <c r="F220" s="157"/>
      <c r="G220" s="151"/>
      <c r="H220" s="151"/>
      <c r="I220" s="153"/>
      <c r="J220" s="151"/>
      <c r="K220" s="152"/>
      <c r="L220" s="153"/>
      <c r="M220" s="153"/>
      <c r="O220" s="154"/>
      <c r="P220" s="10"/>
      <c r="Q220" s="5"/>
    </row>
    <row r="221" spans="1:17" ht="20.100000000000001" customHeight="1" x14ac:dyDescent="0.4">
      <c r="A221" s="149"/>
      <c r="C221" s="12"/>
      <c r="D221" s="160"/>
      <c r="E221" s="157"/>
      <c r="F221" s="157"/>
      <c r="G221" s="151"/>
      <c r="H221" s="151"/>
      <c r="I221" s="153"/>
      <c r="J221" s="151"/>
      <c r="K221" s="152"/>
      <c r="L221" s="153"/>
      <c r="O221" s="154"/>
      <c r="P221" s="10"/>
      <c r="Q221" s="5"/>
    </row>
    <row r="222" spans="1:17" ht="20.100000000000001" customHeight="1" x14ac:dyDescent="0.4">
      <c r="A222" s="149"/>
      <c r="C222" s="12"/>
      <c r="D222" s="156"/>
      <c r="E222" s="157"/>
      <c r="F222" s="157"/>
      <c r="G222" s="151"/>
      <c r="H222" s="151"/>
      <c r="J222" s="151"/>
      <c r="K222" s="152"/>
      <c r="L222" s="153"/>
      <c r="O222" s="154"/>
      <c r="P222" s="10"/>
      <c r="Q222" s="5"/>
    </row>
    <row r="223" spans="1:17" ht="20.100000000000001" customHeight="1" x14ac:dyDescent="0.4">
      <c r="A223" s="149"/>
      <c r="C223" s="12"/>
      <c r="D223" s="160"/>
      <c r="E223" s="157"/>
      <c r="F223" s="157"/>
      <c r="G223" s="151"/>
      <c r="H223" s="151"/>
      <c r="I223" s="153"/>
      <c r="J223" s="151"/>
      <c r="K223" s="152"/>
      <c r="L223" s="153"/>
      <c r="M223" s="153"/>
      <c r="O223" s="154"/>
      <c r="P223" s="10"/>
      <c r="Q223" s="5"/>
    </row>
    <row r="224" spans="1:17" ht="20.100000000000001" customHeight="1" x14ac:dyDescent="0.4">
      <c r="A224" s="149"/>
      <c r="C224" s="12"/>
      <c r="D224" s="160"/>
      <c r="E224" s="157"/>
      <c r="F224" s="157"/>
      <c r="G224" s="151"/>
      <c r="H224" s="151"/>
      <c r="I224" s="153"/>
      <c r="J224" s="151"/>
      <c r="K224" s="152"/>
      <c r="L224" s="153"/>
      <c r="M224" s="153"/>
      <c r="O224" s="154"/>
      <c r="P224" s="10"/>
      <c r="Q224" s="5"/>
    </row>
    <row r="225" spans="1:17" ht="20.100000000000001" customHeight="1" x14ac:dyDescent="0.4">
      <c r="A225" s="149"/>
      <c r="C225" s="12"/>
      <c r="D225" s="160"/>
      <c r="E225" s="157"/>
      <c r="F225" s="157"/>
      <c r="G225" s="151"/>
      <c r="H225" s="151"/>
      <c r="I225" s="153"/>
      <c r="J225" s="151"/>
      <c r="K225" s="152"/>
      <c r="L225" s="153"/>
      <c r="M225" s="153"/>
      <c r="O225" s="154"/>
      <c r="P225" s="10"/>
      <c r="Q225" s="5"/>
    </row>
    <row r="226" spans="1:17" ht="20.100000000000001" customHeight="1" x14ac:dyDescent="0.4">
      <c r="A226" s="149"/>
      <c r="C226" s="12"/>
      <c r="D226" s="160"/>
      <c r="E226" s="157"/>
      <c r="F226" s="157"/>
      <c r="G226" s="151"/>
      <c r="H226" s="151"/>
      <c r="I226" s="153"/>
      <c r="J226" s="151"/>
      <c r="K226" s="152"/>
      <c r="L226" s="153"/>
      <c r="M226" s="153"/>
      <c r="O226" s="154"/>
      <c r="P226" s="10"/>
      <c r="Q226" s="5"/>
    </row>
    <row r="227" spans="1:17" ht="20.100000000000001" customHeight="1" x14ac:dyDescent="0.4">
      <c r="A227" s="149"/>
      <c r="C227" s="12"/>
      <c r="D227" s="160"/>
      <c r="E227" s="157"/>
      <c r="F227" s="157"/>
      <c r="G227" s="151"/>
      <c r="H227" s="151"/>
      <c r="I227" s="153"/>
      <c r="J227" s="151"/>
      <c r="K227" s="152"/>
      <c r="L227" s="153"/>
      <c r="M227" s="153"/>
      <c r="O227" s="154"/>
      <c r="P227" s="10"/>
      <c r="Q227" s="5"/>
    </row>
    <row r="228" spans="1:17" ht="20.100000000000001" customHeight="1" x14ac:dyDescent="0.4">
      <c r="A228" s="149"/>
      <c r="C228" s="12"/>
      <c r="D228" s="156"/>
      <c r="E228" s="157"/>
      <c r="F228" s="157"/>
      <c r="G228" s="151"/>
      <c r="H228" s="151"/>
      <c r="I228" s="153"/>
      <c r="J228" s="151"/>
      <c r="K228" s="152"/>
      <c r="L228" s="153"/>
      <c r="M228" s="153"/>
      <c r="O228" s="154"/>
      <c r="P228" s="10"/>
      <c r="Q228" s="5"/>
    </row>
    <row r="229" spans="1:17" ht="20.100000000000001" customHeight="1" x14ac:dyDescent="0.4">
      <c r="A229" s="149"/>
      <c r="C229" s="12"/>
      <c r="D229" s="160"/>
      <c r="E229" s="157"/>
      <c r="F229" s="157"/>
      <c r="G229" s="151"/>
      <c r="H229" s="151"/>
      <c r="I229" s="153"/>
      <c r="J229" s="151"/>
      <c r="K229" s="152"/>
      <c r="L229" s="153"/>
      <c r="M229" s="153"/>
      <c r="O229" s="154"/>
      <c r="P229" s="10"/>
      <c r="Q229" s="5"/>
    </row>
    <row r="230" spans="1:17" ht="20.100000000000001" customHeight="1" x14ac:dyDescent="0.4">
      <c r="A230" s="149"/>
      <c r="C230" s="12"/>
      <c r="D230" s="160"/>
      <c r="E230" s="157"/>
      <c r="F230" s="157"/>
      <c r="G230" s="151"/>
      <c r="H230" s="151"/>
      <c r="I230" s="153"/>
      <c r="J230" s="151"/>
      <c r="K230" s="152"/>
      <c r="L230" s="153"/>
      <c r="O230" s="154"/>
      <c r="P230" s="10"/>
      <c r="Q230" s="5"/>
    </row>
    <row r="231" spans="1:17" ht="20.100000000000001" customHeight="1" x14ac:dyDescent="0.4">
      <c r="A231" s="149"/>
      <c r="C231" s="12"/>
      <c r="D231" s="160"/>
      <c r="E231" s="157"/>
      <c r="F231" s="157"/>
      <c r="G231" s="151"/>
      <c r="H231" s="151"/>
      <c r="I231" s="153"/>
      <c r="J231" s="151"/>
      <c r="K231" s="152"/>
      <c r="L231" s="153"/>
      <c r="O231" s="154"/>
      <c r="P231" s="10"/>
      <c r="Q231" s="5"/>
    </row>
    <row r="232" spans="1:17" ht="20.100000000000001" customHeight="1" x14ac:dyDescent="0.4">
      <c r="A232" s="149"/>
      <c r="C232" s="12"/>
      <c r="D232" s="160"/>
      <c r="E232" s="157"/>
      <c r="F232" s="157"/>
      <c r="G232" s="151"/>
      <c r="H232" s="151"/>
      <c r="I232" s="153"/>
      <c r="J232" s="151"/>
      <c r="K232" s="152"/>
      <c r="L232" s="153"/>
      <c r="O232" s="154"/>
      <c r="P232" s="10"/>
      <c r="Q232" s="5"/>
    </row>
    <row r="233" spans="1:17" ht="20.100000000000001" customHeight="1" x14ac:dyDescent="0.4">
      <c r="A233" s="149"/>
      <c r="C233" s="12"/>
      <c r="D233" s="160"/>
      <c r="E233" s="157"/>
      <c r="F233" s="157"/>
      <c r="G233" s="151"/>
      <c r="H233" s="151"/>
      <c r="I233" s="153"/>
      <c r="J233" s="151"/>
      <c r="K233" s="152"/>
      <c r="L233" s="153"/>
      <c r="O233" s="154"/>
      <c r="P233" s="10"/>
      <c r="Q233" s="5"/>
    </row>
    <row r="234" spans="1:17" ht="20.100000000000001" customHeight="1" x14ac:dyDescent="0.4">
      <c r="A234" s="149"/>
      <c r="C234" s="12"/>
      <c r="D234" s="160"/>
      <c r="E234" s="157"/>
      <c r="F234" s="157"/>
      <c r="G234" s="151"/>
      <c r="H234" s="151"/>
      <c r="I234" s="153"/>
      <c r="J234" s="151"/>
      <c r="K234" s="152"/>
      <c r="L234" s="153"/>
      <c r="O234" s="154"/>
      <c r="P234" s="10"/>
      <c r="Q234" s="5"/>
    </row>
    <row r="235" spans="1:17" ht="20.100000000000001" customHeight="1" x14ac:dyDescent="0.4">
      <c r="A235" s="149"/>
      <c r="C235" s="12"/>
      <c r="D235" s="160"/>
      <c r="E235" s="157"/>
      <c r="F235" s="157"/>
      <c r="G235" s="151"/>
      <c r="H235" s="151"/>
      <c r="I235" s="153"/>
      <c r="J235" s="151"/>
      <c r="K235" s="152"/>
      <c r="L235" s="153"/>
      <c r="O235" s="154"/>
      <c r="P235" s="10"/>
      <c r="Q235" s="5"/>
    </row>
    <row r="236" spans="1:17" ht="20.100000000000001" customHeight="1" x14ac:dyDescent="0.4">
      <c r="A236" s="149"/>
      <c r="C236" s="12"/>
      <c r="D236" s="160"/>
      <c r="E236" s="157"/>
      <c r="F236" s="157"/>
      <c r="G236" s="151"/>
      <c r="H236" s="151"/>
      <c r="I236" s="153"/>
      <c r="J236" s="151"/>
      <c r="K236" s="152"/>
      <c r="L236" s="153"/>
      <c r="O236" s="154"/>
      <c r="P236" s="10"/>
      <c r="Q236" s="5"/>
    </row>
    <row r="237" spans="1:17" ht="20.100000000000001" customHeight="1" x14ac:dyDescent="0.4">
      <c r="A237" s="149"/>
      <c r="C237" s="12"/>
      <c r="D237" s="160"/>
      <c r="E237" s="157"/>
      <c r="F237" s="157"/>
      <c r="G237" s="151"/>
      <c r="H237" s="151"/>
      <c r="I237" s="153"/>
      <c r="J237" s="151"/>
      <c r="K237" s="152"/>
      <c r="L237" s="153"/>
      <c r="O237" s="154"/>
      <c r="P237" s="10"/>
      <c r="Q237" s="5"/>
    </row>
    <row r="238" spans="1:17" ht="20.100000000000001" customHeight="1" x14ac:dyDescent="0.4">
      <c r="A238" s="149"/>
      <c r="C238" s="12"/>
      <c r="D238" s="160"/>
      <c r="E238" s="157"/>
      <c r="F238" s="157"/>
      <c r="G238" s="151"/>
      <c r="H238" s="151"/>
      <c r="I238" s="153"/>
      <c r="J238" s="151"/>
      <c r="K238" s="152"/>
      <c r="L238" s="153"/>
      <c r="O238" s="154"/>
      <c r="P238" s="10"/>
      <c r="Q238" s="5"/>
    </row>
    <row r="239" spans="1:17" ht="20.100000000000001" customHeight="1" x14ac:dyDescent="0.4">
      <c r="A239" s="149"/>
      <c r="C239" s="12"/>
      <c r="D239" s="156"/>
      <c r="E239" s="157"/>
      <c r="F239" s="157"/>
      <c r="G239" s="151"/>
      <c r="H239" s="151"/>
      <c r="I239" s="153"/>
      <c r="J239" s="151"/>
      <c r="K239" s="152"/>
      <c r="L239" s="153"/>
      <c r="O239" s="154"/>
      <c r="P239" s="10"/>
      <c r="Q239" s="5"/>
    </row>
    <row r="240" spans="1:17" ht="20.100000000000001" customHeight="1" x14ac:dyDescent="0.4">
      <c r="A240" s="149"/>
      <c r="C240" s="12"/>
      <c r="D240" s="160"/>
      <c r="E240" s="157"/>
      <c r="F240" s="157"/>
      <c r="G240" s="151"/>
      <c r="H240" s="151"/>
      <c r="I240" s="153"/>
      <c r="J240" s="151"/>
      <c r="K240" s="152"/>
      <c r="L240" s="153"/>
      <c r="O240" s="154"/>
      <c r="P240" s="10"/>
      <c r="Q240" s="5"/>
    </row>
    <row r="241" spans="1:18" ht="20.100000000000001" customHeight="1" x14ac:dyDescent="0.4">
      <c r="A241" s="149"/>
      <c r="C241" s="12"/>
      <c r="D241" s="160"/>
      <c r="E241" s="157"/>
      <c r="F241" s="157"/>
      <c r="G241" s="151"/>
      <c r="H241" s="151"/>
      <c r="I241" s="153"/>
      <c r="J241" s="151"/>
      <c r="K241" s="152"/>
      <c r="L241" s="153"/>
      <c r="O241" s="154"/>
      <c r="P241" s="10"/>
      <c r="Q241" s="5"/>
    </row>
    <row r="242" spans="1:18" ht="20.100000000000001" customHeight="1" x14ac:dyDescent="0.4">
      <c r="A242" s="149"/>
      <c r="C242" s="12"/>
      <c r="D242" s="160"/>
      <c r="E242" s="157"/>
      <c r="F242" s="157"/>
      <c r="G242" s="151"/>
      <c r="H242" s="151"/>
      <c r="I242" s="153"/>
      <c r="J242" s="151"/>
      <c r="K242" s="152"/>
      <c r="L242" s="153"/>
      <c r="O242" s="154"/>
      <c r="P242" s="10"/>
      <c r="Q242" s="5"/>
    </row>
    <row r="243" spans="1:18" ht="20.100000000000001" customHeight="1" x14ac:dyDescent="0.4">
      <c r="A243" s="149"/>
      <c r="C243" s="12"/>
      <c r="D243" s="160"/>
      <c r="E243" s="157"/>
      <c r="F243" s="157"/>
      <c r="G243" s="151"/>
      <c r="H243" s="151"/>
      <c r="I243" s="153"/>
      <c r="J243" s="151"/>
      <c r="K243" s="152"/>
      <c r="L243" s="153"/>
      <c r="O243" s="154"/>
      <c r="P243" s="10"/>
      <c r="Q243" s="5"/>
    </row>
    <row r="244" spans="1:18" ht="20.100000000000001" customHeight="1" x14ac:dyDescent="0.4">
      <c r="A244" s="149"/>
      <c r="B244" s="155"/>
      <c r="C244" s="12"/>
      <c r="D244" s="160"/>
      <c r="E244" s="157"/>
      <c r="F244" s="157"/>
      <c r="G244" s="151"/>
      <c r="H244" s="151"/>
      <c r="I244" s="153"/>
      <c r="J244" s="151"/>
      <c r="K244" s="152"/>
      <c r="L244" s="153"/>
      <c r="M244" s="153"/>
      <c r="O244" s="154"/>
      <c r="P244" s="10"/>
      <c r="Q244" s="5"/>
    </row>
    <row r="245" spans="1:18" ht="20.100000000000001" customHeight="1" x14ac:dyDescent="0.4">
      <c r="A245" s="149"/>
      <c r="B245" s="155"/>
      <c r="C245" s="12"/>
      <c r="D245" s="156"/>
      <c r="E245" s="157"/>
      <c r="F245" s="157"/>
      <c r="G245" s="151"/>
      <c r="H245" s="151"/>
      <c r="I245" s="153"/>
      <c r="J245" s="151"/>
      <c r="K245" s="152"/>
      <c r="L245" s="153"/>
      <c r="M245" s="153"/>
      <c r="O245" s="154"/>
      <c r="P245" s="10"/>
      <c r="Q245" s="5"/>
    </row>
    <row r="246" spans="1:18" ht="20.100000000000001" customHeight="1" x14ac:dyDescent="0.4">
      <c r="A246" s="149"/>
      <c r="B246" s="155"/>
      <c r="C246" s="12"/>
      <c r="D246" s="156"/>
      <c r="E246" s="157"/>
      <c r="F246" s="157"/>
      <c r="G246" s="151"/>
      <c r="H246" s="151"/>
      <c r="I246" s="153"/>
      <c r="J246" s="151"/>
      <c r="K246" s="152"/>
      <c r="L246" s="153"/>
      <c r="M246" s="153"/>
      <c r="O246" s="154"/>
      <c r="P246" s="10"/>
      <c r="Q246" s="149"/>
    </row>
    <row r="247" spans="1:18" ht="20.100000000000001" customHeight="1" x14ac:dyDescent="0.4">
      <c r="A247" s="149"/>
      <c r="B247" s="155"/>
      <c r="C247" s="12"/>
      <c r="D247" s="156"/>
      <c r="E247" s="157"/>
      <c r="F247" s="157"/>
      <c r="G247" s="151"/>
      <c r="H247" s="151"/>
      <c r="I247" s="153"/>
      <c r="J247" s="151"/>
      <c r="K247" s="152"/>
      <c r="L247" s="153"/>
      <c r="M247" s="153"/>
      <c r="O247" s="154"/>
      <c r="P247" s="10"/>
      <c r="Q247" s="149"/>
    </row>
    <row r="248" spans="1:18" ht="20.100000000000001" customHeight="1" x14ac:dyDescent="0.4">
      <c r="A248" s="149"/>
      <c r="B248" s="155"/>
      <c r="C248" s="12"/>
      <c r="D248" s="156"/>
      <c r="E248" s="157"/>
      <c r="F248" s="157"/>
      <c r="G248" s="151"/>
      <c r="H248" s="151"/>
      <c r="I248" s="153"/>
      <c r="J248" s="151"/>
      <c r="K248" s="152"/>
      <c r="L248" s="153"/>
      <c r="M248" s="153"/>
      <c r="O248" s="154"/>
      <c r="P248" s="10"/>
      <c r="Q248" s="149"/>
    </row>
    <row r="249" spans="1:18" ht="20.100000000000001" customHeight="1" x14ac:dyDescent="0.4">
      <c r="A249" s="149"/>
      <c r="B249" s="150"/>
      <c r="C249" s="12"/>
      <c r="D249" s="160"/>
      <c r="E249" s="157"/>
      <c r="F249" s="157"/>
      <c r="G249" s="151"/>
      <c r="H249" s="151"/>
      <c r="I249" s="153"/>
      <c r="J249" s="151"/>
      <c r="K249" s="152"/>
      <c r="L249" s="153"/>
      <c r="M249" s="153"/>
      <c r="O249" s="154"/>
      <c r="P249" s="10"/>
      <c r="Q249" s="149"/>
    </row>
    <row r="250" spans="1:18" ht="20.100000000000001" customHeight="1" x14ac:dyDescent="0.4">
      <c r="A250" s="149"/>
      <c r="B250" s="150"/>
      <c r="C250" s="12"/>
      <c r="D250" s="156"/>
      <c r="E250" s="157"/>
      <c r="F250" s="157"/>
      <c r="G250" s="151"/>
      <c r="H250" s="151"/>
      <c r="I250" s="153"/>
      <c r="J250" s="151"/>
      <c r="K250" s="152"/>
      <c r="L250" s="153"/>
      <c r="O250" s="154"/>
      <c r="P250" s="10"/>
      <c r="Q250" s="149"/>
    </row>
    <row r="251" spans="1:18" ht="20.100000000000001" customHeight="1" x14ac:dyDescent="0.4">
      <c r="A251" s="149"/>
      <c r="B251" s="150"/>
      <c r="C251" s="12"/>
      <c r="D251" s="156"/>
      <c r="E251" s="157"/>
      <c r="F251" s="157"/>
      <c r="G251" s="151"/>
      <c r="H251" s="151"/>
      <c r="I251" s="153"/>
      <c r="J251" s="151"/>
      <c r="K251" s="152"/>
      <c r="L251" s="153"/>
      <c r="O251" s="154"/>
      <c r="P251" s="10"/>
      <c r="Q251" s="149"/>
    </row>
    <row r="252" spans="1:18" ht="20.100000000000001" customHeight="1" x14ac:dyDescent="0.4">
      <c r="A252" s="149"/>
      <c r="B252" s="150"/>
      <c r="C252" s="12"/>
      <c r="D252" s="156"/>
      <c r="E252" s="157"/>
      <c r="F252" s="157"/>
      <c r="G252" s="151"/>
      <c r="H252" s="151"/>
      <c r="I252" s="153"/>
      <c r="J252" s="151"/>
      <c r="K252" s="152"/>
      <c r="L252" s="153"/>
      <c r="O252" s="154"/>
      <c r="P252" s="10"/>
      <c r="Q252" s="149"/>
    </row>
    <row r="253" spans="1:18" ht="20.100000000000001" customHeight="1" x14ac:dyDescent="0.4">
      <c r="A253" s="149"/>
      <c r="B253" s="150"/>
      <c r="C253" s="12"/>
      <c r="D253" s="156"/>
      <c r="E253" s="157"/>
      <c r="F253" s="157"/>
      <c r="G253" s="151"/>
      <c r="H253" s="151"/>
      <c r="I253" s="153"/>
      <c r="J253" s="151"/>
      <c r="K253" s="152"/>
      <c r="L253" s="153"/>
      <c r="M253" s="153"/>
      <c r="O253" s="154"/>
      <c r="P253" s="10"/>
      <c r="Q253" s="149"/>
    </row>
    <row r="254" spans="1:18" s="5" customFormat="1" ht="20.100000000000001" customHeight="1" x14ac:dyDescent="0.4">
      <c r="A254" s="149"/>
      <c r="B254" s="11"/>
      <c r="C254" s="12"/>
      <c r="D254" s="163"/>
      <c r="E254" s="157"/>
      <c r="F254" s="157"/>
      <c r="G254" s="157"/>
      <c r="H254" s="151"/>
      <c r="I254" s="159"/>
      <c r="J254" s="157"/>
      <c r="K254" s="152"/>
      <c r="L254" s="159"/>
      <c r="M254" s="159"/>
      <c r="N254" s="7"/>
      <c r="O254" s="162"/>
      <c r="P254" s="10"/>
      <c r="Q254" s="10"/>
      <c r="R254" s="8"/>
    </row>
    <row r="255" spans="1:18" ht="20.100000000000001" customHeight="1" x14ac:dyDescent="0.4">
      <c r="A255" s="149"/>
      <c r="B255" s="155"/>
      <c r="C255" s="12"/>
      <c r="D255" s="156"/>
      <c r="E255" s="157"/>
      <c r="F255" s="157"/>
      <c r="G255" s="151"/>
      <c r="H255" s="151"/>
      <c r="I255" s="153"/>
      <c r="J255" s="151"/>
      <c r="K255" s="152"/>
      <c r="L255" s="153"/>
      <c r="M255" s="153"/>
      <c r="O255" s="154"/>
      <c r="P255" s="10"/>
      <c r="Q255" s="149"/>
    </row>
    <row r="256" spans="1:18" ht="20.100000000000001" customHeight="1" x14ac:dyDescent="0.4">
      <c r="A256" s="149"/>
      <c r="B256" s="155"/>
      <c r="C256" s="12"/>
      <c r="D256" s="156"/>
      <c r="E256" s="157"/>
      <c r="F256" s="157"/>
      <c r="G256" s="151"/>
      <c r="H256" s="151"/>
      <c r="I256" s="153"/>
      <c r="J256" s="151"/>
      <c r="K256" s="152"/>
      <c r="L256" s="153"/>
      <c r="M256" s="153"/>
      <c r="O256" s="154"/>
      <c r="P256" s="10"/>
      <c r="Q256" s="149"/>
    </row>
    <row r="257" spans="1:18" ht="20.100000000000001" customHeight="1" x14ac:dyDescent="0.4">
      <c r="A257" s="149"/>
      <c r="B257" s="155"/>
      <c r="C257" s="12"/>
      <c r="D257" s="156"/>
      <c r="E257" s="157"/>
      <c r="F257" s="157"/>
      <c r="G257" s="151"/>
      <c r="H257" s="151"/>
      <c r="I257" s="153"/>
      <c r="J257" s="151"/>
      <c r="K257" s="152"/>
      <c r="L257" s="153"/>
      <c r="M257" s="153"/>
      <c r="O257" s="154"/>
      <c r="P257" s="10"/>
      <c r="Q257" s="149"/>
    </row>
    <row r="258" spans="1:18" ht="20.100000000000001" customHeight="1" x14ac:dyDescent="0.4">
      <c r="A258" s="149"/>
      <c r="B258" s="155"/>
      <c r="C258" s="12"/>
      <c r="D258" s="160"/>
      <c r="E258" s="157"/>
      <c r="F258" s="157"/>
      <c r="G258" s="151"/>
      <c r="H258" s="151"/>
      <c r="I258" s="153"/>
      <c r="J258" s="151"/>
      <c r="K258" s="152"/>
      <c r="L258" s="153"/>
      <c r="M258" s="153"/>
      <c r="O258" s="154"/>
      <c r="P258" s="10"/>
      <c r="Q258" s="10"/>
    </row>
    <row r="259" spans="1:18" ht="20.100000000000001" customHeight="1" x14ac:dyDescent="0.4">
      <c r="A259" s="149"/>
      <c r="B259" s="155"/>
      <c r="C259" s="12"/>
      <c r="D259" s="160"/>
      <c r="E259" s="157"/>
      <c r="F259" s="157"/>
      <c r="G259" s="151"/>
      <c r="H259" s="151"/>
      <c r="I259" s="153"/>
      <c r="J259" s="151"/>
      <c r="K259" s="152"/>
      <c r="L259" s="153"/>
      <c r="M259" s="153"/>
      <c r="O259" s="154"/>
      <c r="P259" s="10"/>
      <c r="Q259" s="10"/>
    </row>
    <row r="260" spans="1:18" ht="20.100000000000001" customHeight="1" x14ac:dyDescent="0.4">
      <c r="A260" s="149"/>
      <c r="B260" s="155"/>
      <c r="C260" s="12"/>
      <c r="D260" s="160"/>
      <c r="E260" s="157"/>
      <c r="F260" s="157"/>
      <c r="G260" s="151"/>
      <c r="H260" s="151"/>
      <c r="I260" s="164"/>
      <c r="J260" s="151"/>
      <c r="K260" s="152"/>
      <c r="L260" s="153"/>
      <c r="M260" s="153"/>
      <c r="O260" s="154"/>
      <c r="P260" s="10"/>
      <c r="Q260" s="10"/>
    </row>
    <row r="261" spans="1:18" ht="20.100000000000001" customHeight="1" x14ac:dyDescent="0.4">
      <c r="A261" s="149"/>
      <c r="B261" s="155"/>
      <c r="C261" s="12"/>
      <c r="D261" s="165"/>
      <c r="E261" s="157"/>
      <c r="F261" s="10"/>
      <c r="G261" s="149"/>
      <c r="H261" s="151"/>
      <c r="I261" s="166"/>
      <c r="J261" s="149"/>
      <c r="K261" s="13"/>
      <c r="L261" s="166"/>
      <c r="M261" s="153"/>
      <c r="O261" s="155"/>
      <c r="P261" s="10"/>
      <c r="Q261" s="149"/>
    </row>
    <row r="262" spans="1:18" ht="20.100000000000001" customHeight="1" x14ac:dyDescent="0.4">
      <c r="A262" s="149"/>
      <c r="B262" s="155"/>
      <c r="C262" s="12"/>
      <c r="D262" s="160"/>
      <c r="E262" s="157"/>
      <c r="F262" s="157"/>
      <c r="G262" s="151"/>
      <c r="H262" s="151"/>
      <c r="I262" s="166"/>
      <c r="J262" s="149"/>
      <c r="K262" s="152"/>
      <c r="L262" s="166"/>
      <c r="M262" s="153"/>
      <c r="O262" s="155"/>
      <c r="P262" s="157"/>
      <c r="Q262" s="151"/>
    </row>
    <row r="263" spans="1:18" ht="20.100000000000001" customHeight="1" x14ac:dyDescent="0.4">
      <c r="A263" s="149"/>
      <c r="B263" s="155"/>
      <c r="C263" s="12"/>
      <c r="D263" s="160"/>
      <c r="E263" s="157"/>
      <c r="F263" s="157"/>
      <c r="G263" s="151"/>
      <c r="H263" s="151"/>
      <c r="I263" s="153"/>
      <c r="J263" s="151"/>
      <c r="K263" s="152"/>
      <c r="L263" s="153"/>
      <c r="M263" s="153"/>
      <c r="O263" s="154"/>
      <c r="P263" s="10"/>
      <c r="Q263" s="149"/>
    </row>
    <row r="264" spans="1:18" ht="20.100000000000001" customHeight="1" x14ac:dyDescent="0.4">
      <c r="A264" s="149"/>
      <c r="B264" s="155"/>
      <c r="C264" s="12"/>
      <c r="D264" s="160"/>
      <c r="E264" s="157"/>
      <c r="F264" s="157"/>
      <c r="G264" s="151"/>
      <c r="H264" s="151"/>
      <c r="I264" s="153"/>
      <c r="J264" s="151"/>
      <c r="K264" s="152"/>
      <c r="L264" s="153"/>
      <c r="M264" s="153"/>
      <c r="O264" s="154"/>
      <c r="P264" s="10"/>
      <c r="Q264" s="149"/>
    </row>
    <row r="265" spans="1:18" ht="20.100000000000001" customHeight="1" x14ac:dyDescent="0.4">
      <c r="A265" s="149"/>
      <c r="B265" s="155"/>
      <c r="C265" s="12"/>
      <c r="D265" s="160"/>
      <c r="E265" s="157"/>
      <c r="F265" s="157"/>
      <c r="G265" s="151"/>
      <c r="H265" s="151"/>
      <c r="I265" s="153"/>
      <c r="J265" s="151"/>
      <c r="K265" s="152"/>
      <c r="L265" s="153"/>
      <c r="M265" s="153"/>
      <c r="O265" s="154"/>
      <c r="P265" s="10"/>
      <c r="Q265" s="149"/>
    </row>
    <row r="266" spans="1:18" ht="20.100000000000001" customHeight="1" x14ac:dyDescent="0.4">
      <c r="A266" s="149"/>
      <c r="B266" s="155"/>
      <c r="C266" s="12"/>
      <c r="D266" s="160"/>
      <c r="E266" s="157"/>
      <c r="F266" s="157"/>
      <c r="G266" s="151"/>
      <c r="H266" s="151"/>
      <c r="I266" s="153"/>
      <c r="J266" s="151"/>
      <c r="K266" s="152"/>
      <c r="L266" s="153"/>
      <c r="M266" s="153"/>
      <c r="O266" s="154"/>
      <c r="P266" s="10"/>
      <c r="Q266" s="149"/>
    </row>
    <row r="267" spans="1:18" ht="20.100000000000001" customHeight="1" x14ac:dyDescent="0.4">
      <c r="A267" s="149"/>
      <c r="B267" s="155"/>
      <c r="C267" s="12"/>
      <c r="D267" s="160"/>
      <c r="E267" s="157"/>
      <c r="F267" s="157"/>
      <c r="G267" s="151"/>
      <c r="H267" s="151"/>
      <c r="I267" s="153"/>
      <c r="J267" s="151"/>
      <c r="K267" s="152"/>
      <c r="L267" s="153"/>
      <c r="M267" s="153"/>
      <c r="O267" s="154"/>
      <c r="P267" s="10"/>
      <c r="Q267" s="149"/>
    </row>
    <row r="268" spans="1:18" ht="20.100000000000001" customHeight="1" x14ac:dyDescent="0.4">
      <c r="A268" s="149"/>
      <c r="B268" s="155"/>
      <c r="C268" s="12"/>
      <c r="D268" s="160"/>
      <c r="E268" s="157"/>
      <c r="F268" s="157"/>
      <c r="G268" s="151"/>
      <c r="H268" s="151"/>
      <c r="I268" s="153"/>
      <c r="J268" s="151"/>
      <c r="K268" s="152"/>
      <c r="L268" s="153"/>
      <c r="M268" s="153"/>
      <c r="O268" s="154"/>
      <c r="P268" s="10"/>
      <c r="Q268" s="149"/>
    </row>
    <row r="269" spans="1:18" ht="20.100000000000001" customHeight="1" x14ac:dyDescent="0.4">
      <c r="A269" s="149"/>
      <c r="B269" s="155"/>
      <c r="C269" s="12"/>
      <c r="D269" s="160"/>
      <c r="E269" s="157"/>
      <c r="F269" s="157"/>
      <c r="G269" s="151"/>
      <c r="H269" s="151"/>
      <c r="I269" s="153"/>
      <c r="J269" s="151"/>
      <c r="K269" s="152"/>
      <c r="L269" s="153"/>
      <c r="M269" s="153"/>
      <c r="O269" s="154"/>
      <c r="P269" s="10"/>
      <c r="Q269" s="149"/>
    </row>
    <row r="270" spans="1:18" ht="20.100000000000001" customHeight="1" x14ac:dyDescent="0.4">
      <c r="A270" s="149"/>
      <c r="B270" s="155"/>
      <c r="C270" s="12"/>
      <c r="D270" s="160"/>
      <c r="E270" s="157"/>
      <c r="F270" s="157"/>
      <c r="G270" s="151"/>
      <c r="H270" s="151"/>
      <c r="I270" s="153"/>
      <c r="J270" s="151"/>
      <c r="K270" s="152"/>
      <c r="L270" s="153"/>
      <c r="M270" s="153"/>
      <c r="O270" s="154"/>
      <c r="P270" s="10"/>
      <c r="Q270" s="149"/>
    </row>
    <row r="271" spans="1:18" s="5" customFormat="1" ht="20.100000000000001" customHeight="1" x14ac:dyDescent="0.4">
      <c r="A271" s="149"/>
      <c r="B271" s="11"/>
      <c r="C271" s="12"/>
      <c r="D271" s="163"/>
      <c r="E271" s="157"/>
      <c r="F271" s="157"/>
      <c r="G271" s="157"/>
      <c r="H271" s="151"/>
      <c r="I271" s="159"/>
      <c r="J271" s="157"/>
      <c r="K271" s="152"/>
      <c r="L271" s="159"/>
      <c r="M271" s="159"/>
      <c r="N271" s="7"/>
      <c r="O271" s="162"/>
      <c r="P271" s="10"/>
      <c r="Q271" s="10"/>
      <c r="R271" s="8"/>
    </row>
    <row r="272" spans="1:18" ht="20.100000000000001" customHeight="1" x14ac:dyDescent="0.4">
      <c r="A272" s="149"/>
      <c r="B272" s="155"/>
      <c r="C272" s="12"/>
      <c r="D272" s="156"/>
      <c r="E272" s="157"/>
      <c r="F272" s="157"/>
      <c r="G272" s="151"/>
      <c r="H272" s="151"/>
      <c r="I272" s="153"/>
      <c r="J272" s="151"/>
      <c r="K272" s="152"/>
      <c r="L272" s="153"/>
      <c r="M272" s="153"/>
      <c r="O272" s="154"/>
      <c r="P272" s="10"/>
      <c r="Q272" s="149"/>
    </row>
    <row r="273" spans="1:18" ht="20.100000000000001" customHeight="1" x14ac:dyDescent="0.4">
      <c r="A273" s="149"/>
      <c r="B273" s="155"/>
      <c r="C273" s="12"/>
      <c r="D273" s="156"/>
      <c r="E273" s="157"/>
      <c r="F273" s="157"/>
      <c r="G273" s="151"/>
      <c r="H273" s="151"/>
      <c r="I273" s="153"/>
      <c r="J273" s="151"/>
      <c r="K273" s="152"/>
      <c r="L273" s="153"/>
      <c r="M273" s="153"/>
      <c r="O273" s="154"/>
      <c r="P273" s="10"/>
      <c r="Q273" s="149"/>
    </row>
    <row r="274" spans="1:18" ht="20.100000000000001" customHeight="1" x14ac:dyDescent="0.4">
      <c r="A274" s="149"/>
      <c r="B274" s="155"/>
      <c r="C274" s="12"/>
      <c r="D274" s="156"/>
      <c r="E274" s="157"/>
      <c r="F274" s="157"/>
      <c r="G274" s="151"/>
      <c r="H274" s="151"/>
      <c r="I274" s="153"/>
      <c r="J274" s="151"/>
      <c r="K274" s="152"/>
      <c r="L274" s="153"/>
      <c r="M274" s="153"/>
      <c r="O274" s="154"/>
      <c r="P274" s="10"/>
      <c r="Q274" s="149"/>
    </row>
    <row r="275" spans="1:18" ht="20.100000000000001" customHeight="1" x14ac:dyDescent="0.4">
      <c r="A275" s="149"/>
      <c r="B275" s="155"/>
      <c r="C275" s="12"/>
      <c r="D275" s="156"/>
      <c r="E275" s="157"/>
      <c r="F275" s="157"/>
      <c r="G275" s="151"/>
      <c r="H275" s="151"/>
      <c r="I275" s="153"/>
      <c r="J275" s="151"/>
      <c r="K275" s="152"/>
      <c r="L275" s="153"/>
      <c r="M275" s="153"/>
      <c r="O275" s="154"/>
      <c r="P275" s="10"/>
      <c r="Q275" s="149"/>
    </row>
    <row r="276" spans="1:18" ht="20.100000000000001" customHeight="1" x14ac:dyDescent="0.4">
      <c r="A276" s="149"/>
      <c r="B276" s="155"/>
      <c r="C276" s="12"/>
      <c r="D276" s="156"/>
      <c r="E276" s="157"/>
      <c r="F276" s="157"/>
      <c r="G276" s="151"/>
      <c r="H276" s="151"/>
      <c r="I276" s="153"/>
      <c r="J276" s="151"/>
      <c r="K276" s="152"/>
      <c r="L276" s="153"/>
      <c r="M276" s="153"/>
      <c r="O276" s="154"/>
      <c r="P276" s="10"/>
      <c r="Q276" s="149"/>
    </row>
    <row r="277" spans="1:18" ht="20.100000000000001" customHeight="1" x14ac:dyDescent="0.4">
      <c r="A277" s="149"/>
      <c r="B277" s="155"/>
      <c r="C277" s="12"/>
      <c r="D277" s="156"/>
      <c r="E277" s="157"/>
      <c r="F277" s="157"/>
      <c r="G277" s="151"/>
      <c r="H277" s="151"/>
      <c r="I277" s="153"/>
      <c r="J277" s="151"/>
      <c r="K277" s="152"/>
      <c r="L277" s="153"/>
      <c r="M277" s="153"/>
      <c r="O277" s="154"/>
      <c r="P277" s="10"/>
      <c r="Q277" s="149"/>
    </row>
    <row r="278" spans="1:18" ht="20.100000000000001" customHeight="1" x14ac:dyDescent="0.4">
      <c r="A278" s="149"/>
      <c r="B278" s="155"/>
      <c r="C278" s="12"/>
      <c r="D278" s="156"/>
      <c r="E278" s="157"/>
      <c r="F278" s="157"/>
      <c r="G278" s="151"/>
      <c r="H278" s="151"/>
      <c r="I278" s="153"/>
      <c r="J278" s="151"/>
      <c r="K278" s="152"/>
      <c r="L278" s="153"/>
      <c r="M278" s="153"/>
      <c r="O278" s="154"/>
      <c r="P278" s="10"/>
      <c r="Q278" s="149"/>
    </row>
    <row r="279" spans="1:18" ht="20.100000000000001" customHeight="1" x14ac:dyDescent="0.4">
      <c r="A279" s="149"/>
      <c r="B279" s="155"/>
      <c r="D279" s="156"/>
      <c r="E279" s="157"/>
      <c r="F279" s="157"/>
      <c r="G279" s="151"/>
      <c r="H279" s="151"/>
      <c r="I279" s="153"/>
      <c r="J279" s="151"/>
      <c r="K279" s="152"/>
      <c r="L279" s="153"/>
      <c r="M279" s="153"/>
      <c r="O279" s="154"/>
      <c r="P279" s="10"/>
      <c r="Q279" s="149"/>
    </row>
    <row r="280" spans="1:18" s="5" customFormat="1" ht="20.100000000000001" customHeight="1" x14ac:dyDescent="0.4">
      <c r="A280" s="149"/>
      <c r="B280" s="150"/>
      <c r="C280" s="12"/>
      <c r="D280" s="158"/>
      <c r="E280" s="157"/>
      <c r="H280" s="151"/>
      <c r="I280" s="147"/>
      <c r="K280" s="8"/>
      <c r="L280" s="147"/>
      <c r="M280" s="159"/>
      <c r="N280" s="7"/>
      <c r="O280" s="150"/>
      <c r="R280" s="8"/>
    </row>
    <row r="281" spans="1:18" ht="20.100000000000001" customHeight="1" x14ac:dyDescent="0.4">
      <c r="A281" s="149"/>
      <c r="B281" s="155"/>
      <c r="C281" s="12"/>
      <c r="D281" s="156"/>
      <c r="E281" s="157"/>
      <c r="F281" s="157"/>
      <c r="G281" s="151"/>
      <c r="H281" s="151"/>
      <c r="I281" s="153"/>
      <c r="J281" s="151"/>
      <c r="K281" s="152"/>
      <c r="L281" s="153"/>
      <c r="M281" s="153"/>
      <c r="O281" s="154"/>
      <c r="P281" s="10"/>
      <c r="Q281" s="149"/>
    </row>
    <row r="282" spans="1:18" ht="20.100000000000001" customHeight="1" x14ac:dyDescent="0.4">
      <c r="A282" s="149"/>
      <c r="B282" s="155"/>
      <c r="C282" s="12"/>
      <c r="D282" s="156"/>
      <c r="E282" s="157"/>
      <c r="F282" s="157"/>
      <c r="G282" s="151"/>
      <c r="H282" s="151"/>
      <c r="I282" s="153"/>
      <c r="J282" s="151"/>
      <c r="K282" s="152"/>
      <c r="L282" s="153"/>
      <c r="M282" s="153"/>
      <c r="O282" s="154"/>
      <c r="P282" s="10"/>
      <c r="Q282" s="149"/>
    </row>
    <row r="283" spans="1:18" ht="20.100000000000001" customHeight="1" x14ac:dyDescent="0.4">
      <c r="A283" s="149"/>
      <c r="B283" s="155"/>
      <c r="C283" s="12"/>
      <c r="D283" s="156"/>
      <c r="E283" s="157"/>
      <c r="F283" s="157"/>
      <c r="G283" s="151"/>
      <c r="H283" s="151"/>
      <c r="I283" s="153"/>
      <c r="J283" s="151"/>
      <c r="K283" s="152"/>
      <c r="L283" s="153"/>
      <c r="M283" s="153"/>
      <c r="O283" s="154"/>
      <c r="P283" s="10"/>
      <c r="Q283" s="149"/>
    </row>
    <row r="284" spans="1:18" ht="20.100000000000001" customHeight="1" x14ac:dyDescent="0.4">
      <c r="A284" s="149"/>
      <c r="B284" s="155"/>
      <c r="C284" s="12"/>
      <c r="D284" s="160"/>
      <c r="E284" s="157"/>
      <c r="F284" s="157"/>
      <c r="G284" s="151"/>
      <c r="H284" s="151"/>
      <c r="I284" s="153"/>
      <c r="J284" s="151"/>
      <c r="K284" s="152"/>
      <c r="L284" s="153"/>
      <c r="M284" s="153"/>
      <c r="O284" s="154"/>
      <c r="P284" s="10"/>
      <c r="Q284" s="149"/>
    </row>
    <row r="285" spans="1:18" ht="20.100000000000001" customHeight="1" x14ac:dyDescent="0.4">
      <c r="A285" s="149"/>
      <c r="B285" s="155"/>
      <c r="C285" s="12"/>
      <c r="D285" s="156"/>
      <c r="E285" s="157"/>
      <c r="F285" s="157"/>
      <c r="G285" s="151"/>
      <c r="H285" s="151"/>
      <c r="I285" s="153"/>
      <c r="J285" s="151"/>
      <c r="K285" s="152"/>
      <c r="L285" s="153"/>
      <c r="M285" s="153"/>
      <c r="O285" s="154"/>
      <c r="P285" s="10"/>
      <c r="Q285" s="149"/>
    </row>
    <row r="286" spans="1:18" ht="20.100000000000001" customHeight="1" x14ac:dyDescent="0.4">
      <c r="A286" s="149"/>
      <c r="B286" s="155"/>
      <c r="C286" s="12"/>
      <c r="D286" s="156"/>
      <c r="E286" s="157"/>
      <c r="F286" s="157"/>
      <c r="G286" s="151"/>
      <c r="H286" s="151"/>
      <c r="I286" s="153"/>
      <c r="J286" s="151"/>
      <c r="K286" s="152"/>
      <c r="L286" s="153"/>
      <c r="M286" s="153"/>
      <c r="O286" s="154"/>
      <c r="P286" s="10"/>
      <c r="Q286" s="149"/>
    </row>
    <row r="287" spans="1:18" ht="20.100000000000001" customHeight="1" x14ac:dyDescent="0.4">
      <c r="A287" s="149"/>
      <c r="B287" s="155"/>
      <c r="D287" s="156"/>
      <c r="E287" s="157"/>
      <c r="F287" s="157"/>
      <c r="G287" s="151"/>
      <c r="H287" s="151"/>
      <c r="I287" s="153"/>
      <c r="J287" s="151"/>
      <c r="K287" s="152"/>
      <c r="L287" s="153"/>
      <c r="M287" s="153"/>
      <c r="O287" s="154"/>
      <c r="P287" s="10"/>
      <c r="Q287" s="149"/>
    </row>
    <row r="288" spans="1:18" s="5" customFormat="1" ht="20.100000000000001" customHeight="1" x14ac:dyDescent="0.4">
      <c r="A288" s="149"/>
      <c r="B288" s="150"/>
      <c r="C288" s="12"/>
      <c r="D288" s="167"/>
      <c r="E288" s="157"/>
      <c r="F288" s="157"/>
      <c r="G288" s="151"/>
      <c r="H288" s="151"/>
      <c r="I288" s="153"/>
      <c r="J288" s="151"/>
      <c r="K288" s="152"/>
      <c r="L288" s="153"/>
      <c r="M288" s="153"/>
      <c r="N288" s="7"/>
      <c r="O288" s="2"/>
      <c r="Q288" s="149"/>
      <c r="R288" s="8"/>
    </row>
    <row r="289" spans="1:17" ht="20.100000000000001" customHeight="1" x14ac:dyDescent="0.4">
      <c r="A289" s="149"/>
      <c r="B289" s="155"/>
      <c r="D289" s="156"/>
      <c r="E289" s="157"/>
      <c r="F289" s="157"/>
      <c r="G289" s="151"/>
      <c r="H289" s="151"/>
      <c r="I289" s="153"/>
      <c r="J289" s="151"/>
      <c r="K289" s="152"/>
      <c r="L289" s="153"/>
      <c r="M289" s="153"/>
      <c r="O289" s="154"/>
      <c r="P289" s="10"/>
      <c r="Q289" s="149"/>
    </row>
    <row r="290" spans="1:17" ht="20.100000000000001" customHeight="1" x14ac:dyDescent="0.4">
      <c r="C290" s="12"/>
    </row>
    <row r="291" spans="1:17" ht="20.100000000000001" customHeight="1" x14ac:dyDescent="0.4">
      <c r="A291" s="149"/>
      <c r="B291" s="155"/>
      <c r="C291" s="12"/>
      <c r="D291" s="156"/>
      <c r="E291" s="157"/>
      <c r="F291" s="157"/>
      <c r="G291" s="151"/>
      <c r="H291" s="151"/>
      <c r="I291" s="153"/>
      <c r="J291" s="151"/>
      <c r="K291" s="152"/>
      <c r="L291" s="153"/>
      <c r="M291" s="153"/>
      <c r="O291" s="154"/>
      <c r="P291" s="10"/>
      <c r="Q291" s="149"/>
    </row>
    <row r="292" spans="1:17" ht="20.100000000000001" customHeight="1" x14ac:dyDescent="0.4">
      <c r="A292" s="149"/>
      <c r="B292" s="155"/>
      <c r="C292" s="12"/>
      <c r="D292" s="156"/>
      <c r="E292" s="157"/>
      <c r="F292" s="157"/>
      <c r="G292" s="151"/>
      <c r="H292" s="151"/>
      <c r="I292" s="153"/>
      <c r="J292" s="151"/>
      <c r="K292" s="152"/>
      <c r="L292" s="153"/>
      <c r="M292" s="153"/>
      <c r="O292" s="154"/>
      <c r="P292" s="10"/>
      <c r="Q292" s="149"/>
    </row>
    <row r="293" spans="1:17" ht="20.100000000000001" customHeight="1" x14ac:dyDescent="0.4">
      <c r="A293" s="149"/>
      <c r="B293" s="155"/>
      <c r="D293" s="156"/>
      <c r="E293" s="157"/>
      <c r="F293" s="157"/>
      <c r="G293" s="151"/>
      <c r="H293" s="151"/>
      <c r="I293" s="153"/>
      <c r="J293" s="151"/>
      <c r="K293" s="152"/>
      <c r="L293" s="153"/>
      <c r="M293" s="153"/>
      <c r="O293" s="154"/>
      <c r="P293" s="10"/>
      <c r="Q293" s="149"/>
    </row>
    <row r="294" spans="1:17" ht="20.100000000000001" customHeight="1" x14ac:dyDescent="0.4">
      <c r="C294" s="168"/>
    </row>
    <row r="297" spans="1:17" ht="20.100000000000001" customHeight="1" x14ac:dyDescent="0.4">
      <c r="B297" s="169"/>
    </row>
    <row r="298" spans="1:17" ht="20.100000000000001" customHeight="1" x14ac:dyDescent="0.4">
      <c r="I298" s="170"/>
      <c r="J298" s="171"/>
      <c r="K298" s="172"/>
      <c r="L298" s="170"/>
      <c r="M298" s="170"/>
    </row>
    <row r="299" spans="1:17" ht="20.100000000000001" customHeight="1" x14ac:dyDescent="0.4">
      <c r="C299" s="168"/>
      <c r="I299" s="170"/>
      <c r="J299" s="171"/>
      <c r="K299" s="172"/>
      <c r="L299" s="170"/>
      <c r="M299" s="170"/>
    </row>
    <row r="300" spans="1:17" ht="20.100000000000001" customHeight="1" x14ac:dyDescent="0.4">
      <c r="B300" s="169"/>
      <c r="C300" s="168"/>
      <c r="D300" s="158"/>
      <c r="E300" s="171"/>
      <c r="I300" s="170"/>
      <c r="J300" s="149"/>
      <c r="K300" s="172"/>
      <c r="L300" s="170"/>
      <c r="M300" s="170"/>
    </row>
    <row r="301" spans="1:17" ht="20.100000000000001" customHeight="1" x14ac:dyDescent="0.4">
      <c r="B301" s="169"/>
      <c r="C301" s="168"/>
      <c r="D301" s="158"/>
      <c r="E301" s="171"/>
      <c r="G301" s="5"/>
      <c r="H301" s="5"/>
      <c r="I301" s="170"/>
      <c r="J301" s="171"/>
      <c r="K301" s="172"/>
      <c r="L301" s="170"/>
      <c r="M301" s="170"/>
    </row>
    <row r="302" spans="1:17" ht="20.100000000000001" customHeight="1" x14ac:dyDescent="0.4">
      <c r="B302" s="169"/>
      <c r="C302" s="168"/>
      <c r="D302" s="158"/>
      <c r="E302" s="171"/>
      <c r="G302" s="5"/>
      <c r="H302" s="5"/>
      <c r="I302" s="170"/>
      <c r="J302" s="171"/>
      <c r="K302" s="172"/>
      <c r="L302" s="170"/>
      <c r="M302" s="170"/>
    </row>
    <row r="303" spans="1:17" ht="20.100000000000001" customHeight="1" x14ac:dyDescent="0.4">
      <c r="B303" s="169"/>
      <c r="C303" s="168"/>
      <c r="D303" s="158"/>
      <c r="E303" s="171"/>
      <c r="G303" s="5"/>
      <c r="H303" s="5"/>
      <c r="I303" s="170"/>
      <c r="J303" s="171"/>
      <c r="K303" s="172"/>
      <c r="L303" s="170"/>
      <c r="M303" s="170"/>
    </row>
    <row r="304" spans="1:17" ht="20.100000000000001" customHeight="1" x14ac:dyDescent="0.4">
      <c r="B304" s="169"/>
      <c r="C304" s="168"/>
      <c r="F304" s="171"/>
      <c r="G304" s="5"/>
      <c r="H304" s="5"/>
      <c r="I304" s="170"/>
      <c r="J304" s="171"/>
      <c r="K304" s="172"/>
      <c r="L304" s="170"/>
      <c r="M304" s="170"/>
    </row>
    <row r="305" spans="2:18" ht="20.100000000000001" customHeight="1" x14ac:dyDescent="0.4">
      <c r="B305" s="169"/>
      <c r="D305" s="158"/>
      <c r="E305" s="171"/>
      <c r="F305" s="171"/>
      <c r="G305" s="171"/>
      <c r="J305" s="171"/>
      <c r="K305" s="172"/>
      <c r="L305" s="170"/>
      <c r="M305" s="170"/>
    </row>
    <row r="306" spans="2:18" ht="20.100000000000001" customHeight="1" x14ac:dyDescent="0.4">
      <c r="B306" s="169"/>
      <c r="C306" s="168"/>
      <c r="D306" s="158"/>
      <c r="E306" s="171"/>
      <c r="F306" s="171"/>
      <c r="G306" s="171"/>
      <c r="H306" s="5"/>
      <c r="I306" s="170"/>
      <c r="J306" s="171"/>
      <c r="K306" s="172"/>
      <c r="L306" s="170"/>
      <c r="M306" s="170"/>
    </row>
    <row r="307" spans="2:18" ht="20.100000000000001" customHeight="1" x14ac:dyDescent="0.4">
      <c r="B307" s="169"/>
      <c r="C307" s="168"/>
      <c r="D307" s="158"/>
      <c r="E307" s="171"/>
      <c r="F307" s="171"/>
      <c r="G307" s="171"/>
      <c r="H307" s="5"/>
      <c r="I307" s="170"/>
      <c r="J307" s="171"/>
      <c r="K307" s="172"/>
      <c r="L307" s="170"/>
      <c r="M307" s="170"/>
    </row>
    <row r="308" spans="2:18" ht="20.100000000000001" customHeight="1" x14ac:dyDescent="0.4">
      <c r="B308" s="169"/>
      <c r="C308" s="168"/>
      <c r="D308" s="158"/>
      <c r="E308" s="171"/>
      <c r="G308" s="5"/>
      <c r="H308" s="5"/>
      <c r="I308" s="170"/>
      <c r="J308" s="171"/>
      <c r="K308" s="172"/>
      <c r="L308" s="170"/>
      <c r="M308" s="170"/>
    </row>
    <row r="309" spans="2:18" ht="20.100000000000001" customHeight="1" x14ac:dyDescent="0.4">
      <c r="B309" s="169"/>
      <c r="C309" s="168"/>
      <c r="D309" s="158"/>
      <c r="E309" s="171"/>
      <c r="G309" s="5"/>
      <c r="H309" s="5"/>
      <c r="I309" s="170"/>
      <c r="J309" s="171"/>
      <c r="K309" s="172"/>
      <c r="L309" s="170"/>
      <c r="M309" s="170"/>
    </row>
    <row r="310" spans="2:18" ht="20.100000000000001" customHeight="1" x14ac:dyDescent="0.4">
      <c r="B310" s="169"/>
      <c r="D310" s="158"/>
      <c r="E310" s="171"/>
      <c r="G310" s="5"/>
      <c r="H310" s="5"/>
      <c r="I310" s="170"/>
      <c r="J310" s="171"/>
      <c r="K310" s="172"/>
      <c r="L310" s="170"/>
      <c r="M310" s="170"/>
    </row>
    <row r="311" spans="2:18" ht="20.100000000000001" customHeight="1" x14ac:dyDescent="0.4">
      <c r="B311" s="169"/>
      <c r="E311" s="171"/>
      <c r="G311" s="5"/>
      <c r="H311" s="5"/>
      <c r="I311" s="170"/>
      <c r="J311" s="171"/>
      <c r="K311" s="172"/>
      <c r="L311" s="170"/>
      <c r="M311" s="170"/>
    </row>
    <row r="312" spans="2:18" ht="20.100000000000001" customHeight="1" x14ac:dyDescent="0.4">
      <c r="B312" s="169"/>
      <c r="E312" s="171"/>
      <c r="G312" s="5"/>
      <c r="H312" s="5"/>
      <c r="I312" s="170"/>
      <c r="J312" s="171"/>
      <c r="K312" s="172"/>
      <c r="L312" s="170"/>
      <c r="M312" s="170"/>
    </row>
    <row r="313" spans="2:18" ht="20.100000000000001" customHeight="1" x14ac:dyDescent="0.4">
      <c r="G313" s="5"/>
      <c r="H313" s="5"/>
      <c r="I313" s="170"/>
      <c r="J313" s="171"/>
      <c r="K313" s="172"/>
      <c r="L313" s="170"/>
      <c r="M313" s="170"/>
    </row>
    <row r="314" spans="2:18" ht="20.100000000000001" customHeight="1" x14ac:dyDescent="0.4">
      <c r="G314" s="5"/>
      <c r="H314" s="5"/>
    </row>
    <row r="315" spans="2:18" s="5" customFormat="1" ht="20.100000000000001" customHeight="1" x14ac:dyDescent="0.4">
      <c r="B315" s="150"/>
      <c r="C315" s="3"/>
      <c r="D315" s="158"/>
      <c r="I315" s="147"/>
      <c r="K315" s="8"/>
      <c r="L315" s="147"/>
      <c r="M315" s="147"/>
      <c r="N315" s="147"/>
      <c r="O315" s="150"/>
      <c r="R315" s="8"/>
    </row>
    <row r="316" spans="2:18" s="5" customFormat="1" ht="20.100000000000001" customHeight="1" x14ac:dyDescent="0.4">
      <c r="B316" s="150"/>
      <c r="C316" s="3"/>
      <c r="D316" s="158"/>
      <c r="I316" s="147"/>
      <c r="K316" s="8"/>
      <c r="L316" s="147"/>
      <c r="M316" s="147"/>
      <c r="N316" s="147"/>
      <c r="O316" s="150"/>
      <c r="R316" s="8"/>
    </row>
    <row r="317" spans="2:18" s="5" customFormat="1" ht="20.100000000000001" customHeight="1" x14ac:dyDescent="0.4">
      <c r="B317" s="150"/>
      <c r="C317" s="3"/>
      <c r="D317" s="158"/>
      <c r="I317" s="147"/>
      <c r="K317" s="8"/>
      <c r="L317" s="147"/>
      <c r="M317" s="147"/>
      <c r="N317" s="147"/>
      <c r="O317" s="150"/>
      <c r="R317" s="8"/>
    </row>
    <row r="318" spans="2:18" s="5" customFormat="1" ht="20.100000000000001" customHeight="1" x14ac:dyDescent="0.4">
      <c r="B318" s="150"/>
      <c r="C318" s="3"/>
      <c r="D318" s="158"/>
      <c r="I318" s="147"/>
      <c r="K318" s="8"/>
      <c r="L318" s="147"/>
      <c r="M318" s="147"/>
      <c r="N318" s="147"/>
      <c r="O318" s="150"/>
      <c r="R318" s="8"/>
    </row>
    <row r="319" spans="2:18" s="5" customFormat="1" ht="20.100000000000001" customHeight="1" x14ac:dyDescent="0.4">
      <c r="B319" s="150"/>
      <c r="C319" s="3"/>
      <c r="D319" s="158"/>
      <c r="I319" s="147"/>
      <c r="K319" s="8"/>
      <c r="L319" s="147"/>
      <c r="M319" s="147"/>
      <c r="N319" s="147"/>
      <c r="O319" s="150"/>
      <c r="R319" s="8"/>
    </row>
    <row r="320" spans="2:18" s="5" customFormat="1" ht="20.100000000000001" customHeight="1" x14ac:dyDescent="0.4">
      <c r="B320" s="150"/>
      <c r="C320" s="3"/>
      <c r="D320" s="158"/>
      <c r="I320" s="147"/>
      <c r="K320" s="8"/>
      <c r="L320" s="147"/>
      <c r="M320" s="147"/>
      <c r="N320" s="147"/>
      <c r="O320" s="150"/>
      <c r="R320" s="8"/>
    </row>
    <row r="321" spans="2:18" s="5" customFormat="1" ht="20.100000000000001" customHeight="1" x14ac:dyDescent="0.4">
      <c r="B321" s="150"/>
      <c r="C321" s="3"/>
      <c r="D321" s="158"/>
      <c r="I321" s="147"/>
      <c r="K321" s="8"/>
      <c r="L321" s="147"/>
      <c r="M321" s="147"/>
      <c r="N321" s="147"/>
      <c r="O321" s="150"/>
      <c r="R321" s="8"/>
    </row>
    <row r="322" spans="2:18" s="5" customFormat="1" ht="20.100000000000001" customHeight="1" x14ac:dyDescent="0.4">
      <c r="B322" s="150"/>
      <c r="C322" s="3"/>
      <c r="D322" s="158"/>
      <c r="I322" s="147"/>
      <c r="K322" s="8"/>
      <c r="L322" s="147"/>
      <c r="M322" s="147"/>
      <c r="N322" s="147"/>
      <c r="O322" s="150"/>
      <c r="R322" s="8"/>
    </row>
    <row r="323" spans="2:18" s="5" customFormat="1" ht="20.100000000000001" customHeight="1" x14ac:dyDescent="0.4">
      <c r="B323" s="150"/>
      <c r="C323" s="3"/>
      <c r="D323" s="158"/>
      <c r="I323" s="147"/>
      <c r="K323" s="8"/>
      <c r="L323" s="147"/>
      <c r="M323" s="147"/>
      <c r="N323" s="147"/>
      <c r="O323" s="150"/>
      <c r="R323" s="8"/>
    </row>
    <row r="324" spans="2:18" s="5" customFormat="1" ht="20.100000000000001" customHeight="1" x14ac:dyDescent="0.4">
      <c r="B324" s="150"/>
      <c r="C324" s="3"/>
      <c r="D324" s="158"/>
      <c r="I324" s="147"/>
      <c r="K324" s="8"/>
      <c r="L324" s="147"/>
      <c r="M324" s="147"/>
      <c r="N324" s="147"/>
      <c r="O324" s="150"/>
      <c r="R324" s="8"/>
    </row>
    <row r="325" spans="2:18" s="5" customFormat="1" ht="20.100000000000001" customHeight="1" x14ac:dyDescent="0.4">
      <c r="B325" s="150"/>
      <c r="C325" s="3"/>
      <c r="D325" s="158"/>
      <c r="I325" s="147"/>
      <c r="K325" s="8"/>
      <c r="L325" s="147"/>
      <c r="M325" s="147"/>
      <c r="N325" s="147"/>
      <c r="O325" s="150"/>
      <c r="R325" s="8"/>
    </row>
    <row r="326" spans="2:18" s="5" customFormat="1" ht="20.100000000000001" customHeight="1" x14ac:dyDescent="0.4">
      <c r="B326" s="150"/>
      <c r="C326" s="3"/>
      <c r="D326" s="158"/>
      <c r="I326" s="147"/>
      <c r="K326" s="8"/>
      <c r="L326" s="147"/>
      <c r="M326" s="147"/>
      <c r="N326" s="147"/>
      <c r="O326" s="150"/>
      <c r="R326" s="8"/>
    </row>
    <row r="327" spans="2:18" s="5" customFormat="1" ht="20.100000000000001" customHeight="1" x14ac:dyDescent="0.4">
      <c r="B327" s="150"/>
      <c r="C327" s="3"/>
      <c r="D327" s="158"/>
      <c r="I327" s="147"/>
      <c r="K327" s="8"/>
      <c r="L327" s="147"/>
      <c r="M327" s="147"/>
      <c r="N327" s="147"/>
      <c r="O327" s="150"/>
      <c r="R327" s="8"/>
    </row>
    <row r="328" spans="2:18" s="5" customFormat="1" ht="20.100000000000001" customHeight="1" x14ac:dyDescent="0.4">
      <c r="B328" s="150"/>
      <c r="C328" s="3"/>
      <c r="D328" s="158"/>
      <c r="I328" s="147"/>
      <c r="K328" s="8"/>
      <c r="L328" s="147"/>
      <c r="M328" s="147"/>
      <c r="N328" s="147"/>
      <c r="O328" s="150"/>
      <c r="R328" s="8"/>
    </row>
    <row r="329" spans="2:18" s="5" customFormat="1" ht="20.100000000000001" customHeight="1" x14ac:dyDescent="0.4">
      <c r="B329" s="150"/>
      <c r="C329" s="3"/>
      <c r="D329" s="158"/>
      <c r="I329" s="147"/>
      <c r="K329" s="8"/>
      <c r="L329" s="147"/>
      <c r="M329" s="147"/>
      <c r="N329" s="147"/>
      <c r="O329" s="150"/>
      <c r="R329" s="8"/>
    </row>
    <row r="330" spans="2:18" s="5" customFormat="1" ht="20.100000000000001" customHeight="1" x14ac:dyDescent="0.4">
      <c r="B330" s="150"/>
      <c r="C330" s="3"/>
      <c r="D330" s="158"/>
      <c r="I330" s="147"/>
      <c r="K330" s="8"/>
      <c r="L330" s="147"/>
      <c r="M330" s="147"/>
      <c r="N330" s="147"/>
      <c r="O330" s="150"/>
      <c r="R330" s="8"/>
    </row>
    <row r="331" spans="2:18" s="5" customFormat="1" ht="20.100000000000001" customHeight="1" x14ac:dyDescent="0.4">
      <c r="B331" s="150"/>
      <c r="C331" s="3"/>
      <c r="D331" s="158"/>
      <c r="I331" s="147"/>
      <c r="K331" s="8"/>
      <c r="L331" s="147"/>
      <c r="M331" s="147"/>
      <c r="N331" s="147"/>
      <c r="O331" s="150"/>
      <c r="R331" s="8"/>
    </row>
    <row r="332" spans="2:18" s="5" customFormat="1" ht="20.100000000000001" customHeight="1" x14ac:dyDescent="0.4">
      <c r="B332" s="150"/>
      <c r="C332" s="3"/>
      <c r="D332" s="158"/>
      <c r="I332" s="147"/>
      <c r="K332" s="8"/>
      <c r="L332" s="147"/>
      <c r="M332" s="147"/>
      <c r="N332" s="147"/>
      <c r="O332" s="150"/>
      <c r="R332" s="8"/>
    </row>
    <row r="333" spans="2:18" s="5" customFormat="1" ht="20.100000000000001" customHeight="1" x14ac:dyDescent="0.4">
      <c r="B333" s="150"/>
      <c r="C333" s="3"/>
      <c r="D333" s="158"/>
      <c r="I333" s="147"/>
      <c r="K333" s="8"/>
      <c r="L333" s="147"/>
      <c r="M333" s="147"/>
      <c r="N333" s="147"/>
      <c r="O333" s="150"/>
      <c r="R333" s="8"/>
    </row>
    <row r="334" spans="2:18" s="5" customFormat="1" ht="20.100000000000001" customHeight="1" x14ac:dyDescent="0.4">
      <c r="B334" s="150"/>
      <c r="C334" s="3"/>
      <c r="D334" s="158"/>
      <c r="I334" s="147"/>
      <c r="K334" s="8"/>
      <c r="L334" s="147"/>
      <c r="M334" s="147"/>
      <c r="N334" s="147"/>
      <c r="O334" s="150"/>
      <c r="R334" s="8"/>
    </row>
    <row r="335" spans="2:18" s="5" customFormat="1" ht="20.100000000000001" customHeight="1" x14ac:dyDescent="0.4">
      <c r="B335" s="150"/>
      <c r="C335" s="3"/>
      <c r="D335" s="158"/>
      <c r="I335" s="147"/>
      <c r="K335" s="8"/>
      <c r="L335" s="147"/>
      <c r="M335" s="147"/>
      <c r="N335" s="147"/>
      <c r="O335" s="150"/>
      <c r="R335" s="8"/>
    </row>
    <row r="336" spans="2:18" s="5" customFormat="1" ht="20.100000000000001" customHeight="1" x14ac:dyDescent="0.4">
      <c r="B336" s="150"/>
      <c r="C336" s="3"/>
      <c r="D336" s="158"/>
      <c r="I336" s="147"/>
      <c r="K336" s="8"/>
      <c r="L336" s="147"/>
      <c r="M336" s="147"/>
      <c r="N336" s="147"/>
      <c r="O336" s="150"/>
      <c r="R336" s="8"/>
    </row>
    <row r="337" spans="2:18" s="5" customFormat="1" ht="20.100000000000001" customHeight="1" x14ac:dyDescent="0.4">
      <c r="B337" s="150"/>
      <c r="C337" s="3"/>
      <c r="D337" s="158"/>
      <c r="I337" s="147"/>
      <c r="K337" s="8"/>
      <c r="L337" s="147"/>
      <c r="M337" s="147"/>
      <c r="N337" s="147"/>
      <c r="O337" s="150"/>
      <c r="R337" s="8"/>
    </row>
    <row r="338" spans="2:18" s="5" customFormat="1" ht="20.100000000000001" customHeight="1" x14ac:dyDescent="0.4">
      <c r="B338" s="150"/>
      <c r="C338" s="3"/>
      <c r="D338" s="158"/>
      <c r="I338" s="147"/>
      <c r="K338" s="8"/>
      <c r="L338" s="147"/>
      <c r="M338" s="147"/>
      <c r="N338" s="147"/>
      <c r="O338" s="150"/>
      <c r="R338" s="8"/>
    </row>
    <row r="339" spans="2:18" s="5" customFormat="1" ht="20.100000000000001" customHeight="1" x14ac:dyDescent="0.4">
      <c r="B339" s="150"/>
      <c r="C339" s="3"/>
      <c r="D339" s="158"/>
      <c r="I339" s="147"/>
      <c r="K339" s="8"/>
      <c r="L339" s="147"/>
      <c r="M339" s="147"/>
      <c r="N339" s="147"/>
      <c r="O339" s="150"/>
      <c r="R339" s="8"/>
    </row>
    <row r="340" spans="2:18" s="5" customFormat="1" ht="20.100000000000001" customHeight="1" x14ac:dyDescent="0.4">
      <c r="B340" s="150"/>
      <c r="C340" s="3"/>
      <c r="D340" s="158"/>
      <c r="I340" s="147"/>
      <c r="K340" s="8"/>
      <c r="L340" s="147"/>
      <c r="M340" s="147"/>
      <c r="N340" s="147"/>
      <c r="O340" s="150"/>
      <c r="R340" s="8"/>
    </row>
    <row r="341" spans="2:18" s="5" customFormat="1" ht="20.100000000000001" customHeight="1" x14ac:dyDescent="0.4">
      <c r="B341" s="150"/>
      <c r="C341" s="3"/>
      <c r="D341" s="158"/>
      <c r="I341" s="147"/>
      <c r="K341" s="8"/>
      <c r="L341" s="147"/>
      <c r="M341" s="147"/>
      <c r="N341" s="147"/>
      <c r="O341" s="150"/>
      <c r="R341" s="8"/>
    </row>
    <row r="342" spans="2:18" s="5" customFormat="1" ht="20.100000000000001" customHeight="1" x14ac:dyDescent="0.4">
      <c r="B342" s="150"/>
      <c r="C342" s="3"/>
      <c r="D342" s="158"/>
      <c r="I342" s="147"/>
      <c r="K342" s="8"/>
      <c r="L342" s="147"/>
      <c r="M342" s="147"/>
      <c r="N342" s="147"/>
      <c r="O342" s="150"/>
      <c r="R342" s="8"/>
    </row>
    <row r="343" spans="2:18" s="5" customFormat="1" ht="20.100000000000001" customHeight="1" x14ac:dyDescent="0.4">
      <c r="B343" s="150"/>
      <c r="C343" s="3"/>
      <c r="D343" s="158"/>
      <c r="I343" s="147"/>
      <c r="K343" s="8"/>
      <c r="L343" s="147"/>
      <c r="M343" s="147"/>
      <c r="N343" s="147"/>
      <c r="O343" s="150"/>
      <c r="R343" s="8"/>
    </row>
    <row r="344" spans="2:18" s="5" customFormat="1" ht="20.100000000000001" customHeight="1" x14ac:dyDescent="0.4">
      <c r="B344" s="150"/>
      <c r="C344" s="3"/>
      <c r="D344" s="158"/>
      <c r="I344" s="147"/>
      <c r="K344" s="8"/>
      <c r="L344" s="147"/>
      <c r="M344" s="147"/>
      <c r="N344" s="147"/>
      <c r="O344" s="150"/>
      <c r="R344" s="8"/>
    </row>
    <row r="345" spans="2:18" s="5" customFormat="1" ht="20.100000000000001" customHeight="1" x14ac:dyDescent="0.4">
      <c r="B345" s="150"/>
      <c r="C345" s="3"/>
      <c r="D345" s="158"/>
      <c r="I345" s="147"/>
      <c r="K345" s="8"/>
      <c r="L345" s="147"/>
      <c r="M345" s="147"/>
      <c r="N345" s="147"/>
      <c r="O345" s="150"/>
      <c r="R345" s="8"/>
    </row>
    <row r="346" spans="2:18" s="5" customFormat="1" ht="20.100000000000001" customHeight="1" x14ac:dyDescent="0.4">
      <c r="B346" s="150"/>
      <c r="C346" s="3"/>
      <c r="D346" s="158"/>
      <c r="I346" s="147"/>
      <c r="K346" s="8"/>
      <c r="L346" s="147"/>
      <c r="M346" s="147"/>
      <c r="N346" s="147"/>
      <c r="O346" s="150"/>
      <c r="R346" s="8"/>
    </row>
    <row r="347" spans="2:18" s="5" customFormat="1" ht="20.100000000000001" customHeight="1" x14ac:dyDescent="0.4">
      <c r="B347" s="150"/>
      <c r="C347" s="3"/>
      <c r="D347" s="158"/>
      <c r="I347" s="147"/>
      <c r="K347" s="8"/>
      <c r="L347" s="147"/>
      <c r="M347" s="147"/>
      <c r="N347" s="147"/>
      <c r="O347" s="150"/>
      <c r="R347" s="8"/>
    </row>
    <row r="348" spans="2:18" s="5" customFormat="1" ht="20.100000000000001" customHeight="1" x14ac:dyDescent="0.4">
      <c r="B348" s="150"/>
      <c r="C348" s="3"/>
      <c r="D348" s="158"/>
      <c r="I348" s="147"/>
      <c r="K348" s="8"/>
      <c r="L348" s="147"/>
      <c r="M348" s="147"/>
      <c r="N348" s="147"/>
      <c r="O348" s="150"/>
      <c r="R348" s="8"/>
    </row>
    <row r="349" spans="2:18" s="5" customFormat="1" ht="20.100000000000001" customHeight="1" x14ac:dyDescent="0.4">
      <c r="B349" s="150"/>
      <c r="C349" s="3"/>
      <c r="D349" s="158"/>
      <c r="I349" s="147"/>
      <c r="K349" s="8"/>
      <c r="L349" s="147"/>
      <c r="M349" s="147"/>
      <c r="N349" s="147"/>
      <c r="O349" s="150"/>
      <c r="R349" s="8"/>
    </row>
    <row r="350" spans="2:18" s="5" customFormat="1" ht="20.100000000000001" customHeight="1" x14ac:dyDescent="0.4">
      <c r="B350" s="150"/>
      <c r="C350" s="3"/>
      <c r="D350" s="158"/>
      <c r="I350" s="147"/>
      <c r="K350" s="8"/>
      <c r="L350" s="147"/>
      <c r="M350" s="147"/>
      <c r="N350" s="147"/>
      <c r="O350" s="150"/>
      <c r="R350" s="8"/>
    </row>
    <row r="351" spans="2:18" s="5" customFormat="1" ht="20.100000000000001" customHeight="1" x14ac:dyDescent="0.4">
      <c r="B351" s="150"/>
      <c r="C351" s="3"/>
      <c r="D351" s="158"/>
      <c r="I351" s="147"/>
      <c r="K351" s="8"/>
      <c r="L351" s="147"/>
      <c r="M351" s="147"/>
      <c r="N351" s="147"/>
      <c r="O351" s="150"/>
      <c r="R351" s="8"/>
    </row>
    <row r="352" spans="2:18" s="5" customFormat="1" ht="20.100000000000001" customHeight="1" x14ac:dyDescent="0.4">
      <c r="B352" s="150"/>
      <c r="C352" s="3"/>
      <c r="D352" s="158"/>
      <c r="I352" s="147"/>
      <c r="K352" s="8"/>
      <c r="L352" s="147"/>
      <c r="M352" s="147"/>
      <c r="N352" s="147"/>
      <c r="O352" s="150"/>
      <c r="R352" s="8"/>
    </row>
    <row r="353" spans="2:18" s="5" customFormat="1" ht="20.100000000000001" customHeight="1" x14ac:dyDescent="0.4">
      <c r="B353" s="150"/>
      <c r="C353" s="3"/>
      <c r="D353" s="158"/>
      <c r="I353" s="147"/>
      <c r="K353" s="8"/>
      <c r="L353" s="147"/>
      <c r="M353" s="147"/>
      <c r="N353" s="147"/>
      <c r="O353" s="150"/>
      <c r="R353" s="8"/>
    </row>
    <row r="354" spans="2:18" s="5" customFormat="1" ht="20.100000000000001" customHeight="1" x14ac:dyDescent="0.4">
      <c r="B354" s="150"/>
      <c r="C354" s="3"/>
      <c r="D354" s="158"/>
      <c r="I354" s="147"/>
      <c r="K354" s="8"/>
      <c r="L354" s="147"/>
      <c r="M354" s="147"/>
      <c r="N354" s="147"/>
      <c r="O354" s="150"/>
      <c r="R354" s="8"/>
    </row>
    <row r="355" spans="2:18" s="5" customFormat="1" ht="20.100000000000001" customHeight="1" x14ac:dyDescent="0.4">
      <c r="B355" s="150"/>
      <c r="C355" s="3"/>
      <c r="D355" s="158"/>
      <c r="I355" s="147"/>
      <c r="K355" s="8"/>
      <c r="L355" s="147"/>
      <c r="M355" s="147"/>
      <c r="N355" s="147"/>
      <c r="O355" s="150"/>
      <c r="R355" s="8"/>
    </row>
    <row r="356" spans="2:18" s="5" customFormat="1" ht="20.100000000000001" customHeight="1" x14ac:dyDescent="0.4">
      <c r="B356" s="150"/>
      <c r="C356" s="3"/>
      <c r="D356" s="158"/>
      <c r="I356" s="147"/>
      <c r="K356" s="8"/>
      <c r="L356" s="147"/>
      <c r="M356" s="147"/>
      <c r="N356" s="147"/>
      <c r="O356" s="150"/>
      <c r="R356" s="8"/>
    </row>
    <row r="357" spans="2:18" s="5" customFormat="1" ht="20.100000000000001" customHeight="1" x14ac:dyDescent="0.4">
      <c r="B357" s="150"/>
      <c r="C357" s="3"/>
      <c r="D357" s="158"/>
      <c r="I357" s="147"/>
      <c r="K357" s="8"/>
      <c r="L357" s="147"/>
      <c r="M357" s="147"/>
      <c r="N357" s="147"/>
      <c r="O357" s="150"/>
      <c r="R357" s="8"/>
    </row>
    <row r="358" spans="2:18" s="5" customFormat="1" ht="20.100000000000001" customHeight="1" x14ac:dyDescent="0.4">
      <c r="B358" s="150"/>
      <c r="C358" s="3"/>
      <c r="D358" s="158"/>
      <c r="I358" s="147"/>
      <c r="K358" s="8"/>
      <c r="L358" s="147"/>
      <c r="M358" s="147"/>
      <c r="N358" s="147"/>
      <c r="O358" s="150"/>
      <c r="R358" s="8"/>
    </row>
    <row r="359" spans="2:18" s="5" customFormat="1" ht="20.100000000000001" customHeight="1" x14ac:dyDescent="0.4">
      <c r="B359" s="150"/>
      <c r="C359" s="3"/>
      <c r="D359" s="158"/>
      <c r="I359" s="147"/>
      <c r="K359" s="8"/>
      <c r="L359" s="147"/>
      <c r="M359" s="147"/>
      <c r="N359" s="147"/>
      <c r="O359" s="150"/>
      <c r="R359" s="8"/>
    </row>
    <row r="360" spans="2:18" s="5" customFormat="1" ht="20.100000000000001" customHeight="1" x14ac:dyDescent="0.4">
      <c r="B360" s="150"/>
      <c r="C360" s="3"/>
      <c r="D360" s="158"/>
      <c r="I360" s="147"/>
      <c r="K360" s="8"/>
      <c r="L360" s="147"/>
      <c r="M360" s="147"/>
      <c r="N360" s="147"/>
      <c r="O360" s="150"/>
      <c r="R360" s="8"/>
    </row>
    <row r="361" spans="2:18" s="5" customFormat="1" ht="20.100000000000001" customHeight="1" x14ac:dyDescent="0.4">
      <c r="B361" s="150"/>
      <c r="C361" s="3"/>
      <c r="D361" s="158"/>
      <c r="I361" s="147"/>
      <c r="K361" s="8"/>
      <c r="L361" s="147"/>
      <c r="M361" s="147"/>
      <c r="N361" s="147"/>
      <c r="O361" s="150"/>
      <c r="R361" s="8"/>
    </row>
    <row r="362" spans="2:18" s="5" customFormat="1" ht="20.100000000000001" customHeight="1" x14ac:dyDescent="0.4">
      <c r="B362" s="150"/>
      <c r="C362" s="3"/>
      <c r="D362" s="158"/>
      <c r="I362" s="147"/>
      <c r="K362" s="8"/>
      <c r="L362" s="147"/>
      <c r="M362" s="147"/>
      <c r="N362" s="147"/>
      <c r="O362" s="150"/>
      <c r="R362" s="8"/>
    </row>
    <row r="363" spans="2:18" s="5" customFormat="1" ht="20.100000000000001" customHeight="1" x14ac:dyDescent="0.4">
      <c r="B363" s="150"/>
      <c r="C363" s="3"/>
      <c r="D363" s="158"/>
      <c r="I363" s="147"/>
      <c r="K363" s="8"/>
      <c r="L363" s="147"/>
      <c r="M363" s="147"/>
      <c r="N363" s="147"/>
      <c r="O363" s="150"/>
      <c r="R363" s="8"/>
    </row>
    <row r="364" spans="2:18" s="5" customFormat="1" ht="20.100000000000001" customHeight="1" x14ac:dyDescent="0.4">
      <c r="B364" s="150"/>
      <c r="C364" s="3"/>
      <c r="D364" s="158"/>
      <c r="I364" s="147"/>
      <c r="K364" s="8"/>
      <c r="L364" s="147"/>
      <c r="M364" s="147"/>
      <c r="N364" s="147"/>
      <c r="O364" s="150"/>
      <c r="R364" s="8"/>
    </row>
    <row r="365" spans="2:18" s="5" customFormat="1" ht="20.100000000000001" customHeight="1" x14ac:dyDescent="0.4">
      <c r="B365" s="150"/>
      <c r="C365" s="3"/>
      <c r="D365" s="158"/>
      <c r="I365" s="147"/>
      <c r="K365" s="8"/>
      <c r="L365" s="147"/>
      <c r="M365" s="147"/>
      <c r="N365" s="147"/>
      <c r="O365" s="150"/>
      <c r="R365" s="8"/>
    </row>
    <row r="366" spans="2:18" s="5" customFormat="1" ht="20.100000000000001" customHeight="1" x14ac:dyDescent="0.4">
      <c r="B366" s="150"/>
      <c r="C366" s="3"/>
      <c r="D366" s="158"/>
      <c r="I366" s="147"/>
      <c r="K366" s="8"/>
      <c r="L366" s="147"/>
      <c r="M366" s="147"/>
      <c r="N366" s="147"/>
      <c r="O366" s="150"/>
      <c r="R366" s="8"/>
    </row>
    <row r="367" spans="2:18" s="5" customFormat="1" ht="20.100000000000001" customHeight="1" x14ac:dyDescent="0.4">
      <c r="B367" s="150"/>
      <c r="C367" s="3"/>
      <c r="D367" s="158"/>
      <c r="I367" s="147"/>
      <c r="K367" s="8"/>
      <c r="L367" s="147"/>
      <c r="M367" s="147"/>
      <c r="N367" s="147"/>
      <c r="O367" s="150"/>
      <c r="R367" s="8"/>
    </row>
    <row r="368" spans="2:18" s="5" customFormat="1" ht="20.100000000000001" customHeight="1" x14ac:dyDescent="0.4">
      <c r="B368" s="150"/>
      <c r="C368" s="3"/>
      <c r="D368" s="158"/>
      <c r="I368" s="147"/>
      <c r="K368" s="8"/>
      <c r="L368" s="147"/>
      <c r="M368" s="147"/>
      <c r="N368" s="147"/>
      <c r="O368" s="150"/>
      <c r="R368" s="8"/>
    </row>
    <row r="369" spans="2:18" s="5" customFormat="1" ht="20.100000000000001" customHeight="1" x14ac:dyDescent="0.4">
      <c r="B369" s="150"/>
      <c r="C369" s="3"/>
      <c r="D369" s="158"/>
      <c r="I369" s="147"/>
      <c r="K369" s="8"/>
      <c r="L369" s="147"/>
      <c r="M369" s="147"/>
      <c r="N369" s="147"/>
      <c r="O369" s="150"/>
      <c r="R369" s="8"/>
    </row>
    <row r="370" spans="2:18" s="5" customFormat="1" ht="20.100000000000001" customHeight="1" x14ac:dyDescent="0.4">
      <c r="B370" s="150"/>
      <c r="C370" s="3"/>
      <c r="D370" s="158"/>
      <c r="I370" s="147"/>
      <c r="K370" s="8"/>
      <c r="L370" s="147"/>
      <c r="M370" s="147"/>
      <c r="N370" s="147"/>
      <c r="O370" s="150"/>
      <c r="R370" s="8"/>
    </row>
    <row r="371" spans="2:18" s="5" customFormat="1" ht="20.100000000000001" customHeight="1" x14ac:dyDescent="0.4">
      <c r="B371" s="150"/>
      <c r="C371" s="3"/>
      <c r="D371" s="158"/>
      <c r="I371" s="147"/>
      <c r="K371" s="8"/>
      <c r="L371" s="147"/>
      <c r="M371" s="147"/>
      <c r="N371" s="147"/>
      <c r="O371" s="150"/>
      <c r="R371" s="8"/>
    </row>
    <row r="372" spans="2:18" s="5" customFormat="1" ht="20.100000000000001" customHeight="1" x14ac:dyDescent="0.4">
      <c r="B372" s="150"/>
      <c r="C372" s="3"/>
      <c r="D372" s="158"/>
      <c r="I372" s="147"/>
      <c r="K372" s="8"/>
      <c r="L372" s="147"/>
      <c r="M372" s="147"/>
      <c r="N372" s="147"/>
      <c r="O372" s="150"/>
      <c r="R372" s="8"/>
    </row>
    <row r="373" spans="2:18" s="5" customFormat="1" ht="20.100000000000001" customHeight="1" x14ac:dyDescent="0.4">
      <c r="B373" s="150"/>
      <c r="C373" s="3"/>
      <c r="D373" s="158"/>
      <c r="I373" s="147"/>
      <c r="K373" s="8"/>
      <c r="L373" s="147"/>
      <c r="M373" s="147"/>
      <c r="N373" s="147"/>
      <c r="O373" s="150"/>
      <c r="R373" s="8"/>
    </row>
    <row r="374" spans="2:18" s="5" customFormat="1" ht="20.100000000000001" customHeight="1" x14ac:dyDescent="0.4">
      <c r="B374" s="150"/>
      <c r="C374" s="3"/>
      <c r="D374" s="158"/>
      <c r="I374" s="147"/>
      <c r="K374" s="8"/>
      <c r="L374" s="147"/>
      <c r="M374" s="147"/>
      <c r="N374" s="147"/>
      <c r="O374" s="150"/>
      <c r="R374" s="8"/>
    </row>
    <row r="375" spans="2:18" s="5" customFormat="1" ht="20.100000000000001" customHeight="1" x14ac:dyDescent="0.4">
      <c r="B375" s="150"/>
      <c r="C375" s="3"/>
      <c r="D375" s="158"/>
      <c r="I375" s="147"/>
      <c r="K375" s="8"/>
      <c r="L375" s="147"/>
      <c r="M375" s="147"/>
      <c r="N375" s="147"/>
      <c r="O375" s="150"/>
      <c r="R375" s="8"/>
    </row>
    <row r="376" spans="2:18" s="5" customFormat="1" ht="20.100000000000001" customHeight="1" x14ac:dyDescent="0.4">
      <c r="B376" s="150"/>
      <c r="C376" s="3"/>
      <c r="D376" s="158"/>
      <c r="I376" s="147"/>
      <c r="K376" s="8"/>
      <c r="L376" s="147"/>
      <c r="M376" s="147"/>
      <c r="N376" s="147"/>
      <c r="O376" s="150"/>
      <c r="R376" s="8"/>
    </row>
    <row r="377" spans="2:18" s="5" customFormat="1" ht="20.100000000000001" customHeight="1" x14ac:dyDescent="0.4">
      <c r="B377" s="150"/>
      <c r="C377" s="3"/>
      <c r="D377" s="158"/>
      <c r="I377" s="147"/>
      <c r="K377" s="8"/>
      <c r="L377" s="147"/>
      <c r="M377" s="147"/>
      <c r="N377" s="147"/>
      <c r="O377" s="150"/>
      <c r="R377" s="8"/>
    </row>
    <row r="378" spans="2:18" s="5" customFormat="1" ht="20.100000000000001" customHeight="1" x14ac:dyDescent="0.4">
      <c r="B378" s="150"/>
      <c r="C378" s="3"/>
      <c r="D378" s="158"/>
      <c r="I378" s="147"/>
      <c r="K378" s="8"/>
      <c r="L378" s="147"/>
      <c r="M378" s="147"/>
      <c r="N378" s="147"/>
      <c r="O378" s="150"/>
      <c r="R378" s="8"/>
    </row>
    <row r="379" spans="2:18" s="5" customFormat="1" ht="20.100000000000001" customHeight="1" x14ac:dyDescent="0.4">
      <c r="B379" s="150"/>
      <c r="C379" s="3"/>
      <c r="D379" s="158"/>
      <c r="I379" s="147"/>
      <c r="K379" s="8"/>
      <c r="L379" s="147"/>
      <c r="M379" s="147"/>
      <c r="N379" s="147"/>
      <c r="O379" s="150"/>
      <c r="R379" s="8"/>
    </row>
    <row r="380" spans="2:18" s="5" customFormat="1" ht="20.100000000000001" customHeight="1" x14ac:dyDescent="0.4">
      <c r="B380" s="150"/>
      <c r="C380" s="3"/>
      <c r="D380" s="158"/>
      <c r="I380" s="147"/>
      <c r="K380" s="8"/>
      <c r="L380" s="147"/>
      <c r="M380" s="147"/>
      <c r="N380" s="147"/>
      <c r="O380" s="150"/>
      <c r="R380" s="8"/>
    </row>
    <row r="381" spans="2:18" s="5" customFormat="1" ht="20.100000000000001" customHeight="1" x14ac:dyDescent="0.4">
      <c r="B381" s="150"/>
      <c r="C381" s="3"/>
      <c r="D381" s="158"/>
      <c r="I381" s="147"/>
      <c r="K381" s="8"/>
      <c r="L381" s="147"/>
      <c r="M381" s="147"/>
      <c r="N381" s="147"/>
      <c r="O381" s="150"/>
      <c r="R381" s="8"/>
    </row>
    <row r="382" spans="2:18" s="5" customFormat="1" ht="20.100000000000001" customHeight="1" x14ac:dyDescent="0.4">
      <c r="B382" s="150"/>
      <c r="C382" s="3"/>
      <c r="D382" s="158"/>
      <c r="I382" s="147"/>
      <c r="K382" s="8"/>
      <c r="L382" s="147"/>
      <c r="M382" s="147"/>
      <c r="N382" s="147"/>
      <c r="O382" s="150"/>
      <c r="R382" s="8"/>
    </row>
    <row r="383" spans="2:18" s="5" customFormat="1" ht="20.100000000000001" customHeight="1" x14ac:dyDescent="0.4">
      <c r="B383" s="150"/>
      <c r="C383" s="3"/>
      <c r="D383" s="158"/>
      <c r="I383" s="147"/>
      <c r="K383" s="8"/>
      <c r="L383" s="147"/>
      <c r="M383" s="147"/>
      <c r="N383" s="147"/>
      <c r="O383" s="150"/>
      <c r="R383" s="8"/>
    </row>
    <row r="384" spans="2:18" s="5" customFormat="1" ht="20.100000000000001" customHeight="1" x14ac:dyDescent="0.4">
      <c r="B384" s="150"/>
      <c r="C384" s="3"/>
      <c r="D384" s="158"/>
      <c r="I384" s="147"/>
      <c r="K384" s="8"/>
      <c r="L384" s="147"/>
      <c r="M384" s="147"/>
      <c r="N384" s="147"/>
      <c r="O384" s="150"/>
      <c r="R384" s="8"/>
    </row>
    <row r="385" spans="2:18" s="5" customFormat="1" ht="20.100000000000001" customHeight="1" x14ac:dyDescent="0.4">
      <c r="B385" s="150"/>
      <c r="C385" s="3"/>
      <c r="D385" s="158"/>
      <c r="I385" s="147"/>
      <c r="K385" s="8"/>
      <c r="L385" s="147"/>
      <c r="M385" s="147"/>
      <c r="N385" s="147"/>
      <c r="O385" s="150"/>
      <c r="R385" s="8"/>
    </row>
    <row r="386" spans="2:18" s="5" customFormat="1" ht="20.100000000000001" customHeight="1" x14ac:dyDescent="0.4">
      <c r="B386" s="150"/>
      <c r="C386" s="3"/>
      <c r="D386" s="158"/>
      <c r="I386" s="147"/>
      <c r="K386" s="8"/>
      <c r="L386" s="147"/>
      <c r="M386" s="147"/>
      <c r="N386" s="147"/>
      <c r="O386" s="150"/>
      <c r="R386" s="8"/>
    </row>
    <row r="387" spans="2:18" s="5" customFormat="1" ht="20.100000000000001" customHeight="1" x14ac:dyDescent="0.4">
      <c r="B387" s="150"/>
      <c r="C387" s="3"/>
      <c r="D387" s="158"/>
      <c r="I387" s="147"/>
      <c r="K387" s="8"/>
      <c r="L387" s="147"/>
      <c r="M387" s="147"/>
      <c r="N387" s="147"/>
      <c r="O387" s="150"/>
      <c r="R387" s="8"/>
    </row>
    <row r="388" spans="2:18" s="5" customFormat="1" ht="20.100000000000001" customHeight="1" x14ac:dyDescent="0.4">
      <c r="B388" s="150"/>
      <c r="C388" s="3"/>
      <c r="D388" s="158"/>
      <c r="I388" s="147"/>
      <c r="K388" s="8"/>
      <c r="L388" s="147"/>
      <c r="M388" s="147"/>
      <c r="N388" s="147"/>
      <c r="O388" s="150"/>
      <c r="R388" s="8"/>
    </row>
    <row r="389" spans="2:18" s="5" customFormat="1" ht="20.100000000000001" customHeight="1" x14ac:dyDescent="0.4">
      <c r="B389" s="150"/>
      <c r="C389" s="3"/>
      <c r="D389" s="158"/>
      <c r="I389" s="147"/>
      <c r="K389" s="8"/>
      <c r="L389" s="147"/>
      <c r="M389" s="147"/>
      <c r="N389" s="147"/>
      <c r="O389" s="150"/>
      <c r="R389" s="8"/>
    </row>
    <row r="390" spans="2:18" s="5" customFormat="1" ht="20.100000000000001" customHeight="1" x14ac:dyDescent="0.4">
      <c r="B390" s="150"/>
      <c r="C390" s="3"/>
      <c r="D390" s="158"/>
      <c r="I390" s="147"/>
      <c r="K390" s="8"/>
      <c r="L390" s="147"/>
      <c r="M390" s="147"/>
      <c r="N390" s="147"/>
      <c r="O390" s="150"/>
      <c r="R390" s="8"/>
    </row>
    <row r="391" spans="2:18" s="5" customFormat="1" ht="20.100000000000001" customHeight="1" x14ac:dyDescent="0.4">
      <c r="B391" s="150"/>
      <c r="C391" s="3"/>
      <c r="D391" s="158"/>
      <c r="I391" s="147"/>
      <c r="K391" s="8"/>
      <c r="L391" s="147"/>
      <c r="M391" s="147"/>
      <c r="N391" s="147"/>
      <c r="O391" s="150"/>
      <c r="R391" s="8"/>
    </row>
    <row r="392" spans="2:18" s="5" customFormat="1" ht="20.100000000000001" customHeight="1" x14ac:dyDescent="0.4">
      <c r="B392" s="150"/>
      <c r="C392" s="3"/>
      <c r="D392" s="158"/>
      <c r="I392" s="147"/>
      <c r="K392" s="8"/>
      <c r="L392" s="147"/>
      <c r="M392" s="147"/>
      <c r="N392" s="147"/>
      <c r="O392" s="150"/>
      <c r="R392" s="8"/>
    </row>
    <row r="393" spans="2:18" s="5" customFormat="1" ht="20.100000000000001" customHeight="1" x14ac:dyDescent="0.4">
      <c r="B393" s="150"/>
      <c r="C393" s="3"/>
      <c r="D393" s="158"/>
      <c r="I393" s="147"/>
      <c r="K393" s="8"/>
      <c r="L393" s="147"/>
      <c r="M393" s="147"/>
      <c r="N393" s="147"/>
      <c r="O393" s="150"/>
      <c r="R393" s="8"/>
    </row>
    <row r="394" spans="2:18" s="5" customFormat="1" ht="20.100000000000001" customHeight="1" x14ac:dyDescent="0.4">
      <c r="B394" s="150"/>
      <c r="C394" s="3"/>
      <c r="D394" s="158"/>
      <c r="I394" s="147"/>
      <c r="K394" s="8"/>
      <c r="L394" s="147"/>
      <c r="M394" s="147"/>
      <c r="N394" s="147"/>
      <c r="O394" s="150"/>
      <c r="R394" s="8"/>
    </row>
    <row r="395" spans="2:18" s="5" customFormat="1" ht="20.100000000000001" customHeight="1" x14ac:dyDescent="0.4">
      <c r="B395" s="150"/>
      <c r="C395" s="3"/>
      <c r="D395" s="158"/>
      <c r="I395" s="147"/>
      <c r="K395" s="8"/>
      <c r="L395" s="147"/>
      <c r="M395" s="147"/>
      <c r="N395" s="147"/>
      <c r="O395" s="150"/>
      <c r="R395" s="8"/>
    </row>
    <row r="396" spans="2:18" s="5" customFormat="1" ht="20.100000000000001" customHeight="1" x14ac:dyDescent="0.4">
      <c r="B396" s="150"/>
      <c r="C396" s="3"/>
      <c r="D396" s="158"/>
      <c r="I396" s="147"/>
      <c r="K396" s="8"/>
      <c r="L396" s="147"/>
      <c r="M396" s="147"/>
      <c r="N396" s="147"/>
      <c r="O396" s="150"/>
      <c r="R396" s="8"/>
    </row>
    <row r="397" spans="2:18" s="5" customFormat="1" ht="20.100000000000001" customHeight="1" x14ac:dyDescent="0.4">
      <c r="B397" s="150"/>
      <c r="C397" s="3"/>
      <c r="D397" s="158"/>
      <c r="I397" s="147"/>
      <c r="K397" s="8"/>
      <c r="L397" s="147"/>
      <c r="M397" s="147"/>
      <c r="N397" s="147"/>
      <c r="O397" s="150"/>
      <c r="R397" s="8"/>
    </row>
    <row r="398" spans="2:18" s="5" customFormat="1" ht="20.100000000000001" customHeight="1" x14ac:dyDescent="0.4">
      <c r="B398" s="150"/>
      <c r="C398" s="3"/>
      <c r="D398" s="158"/>
      <c r="I398" s="147"/>
      <c r="K398" s="8"/>
      <c r="L398" s="147"/>
      <c r="M398" s="147"/>
      <c r="N398" s="147"/>
      <c r="O398" s="150"/>
      <c r="R398" s="8"/>
    </row>
    <row r="399" spans="2:18" s="5" customFormat="1" ht="20.100000000000001" customHeight="1" x14ac:dyDescent="0.4">
      <c r="B399" s="150"/>
      <c r="C399" s="3"/>
      <c r="D399" s="158"/>
      <c r="I399" s="147"/>
      <c r="K399" s="8"/>
      <c r="L399" s="147"/>
      <c r="M399" s="147"/>
      <c r="N399" s="147"/>
      <c r="O399" s="150"/>
      <c r="R399" s="8"/>
    </row>
    <row r="400" spans="2:18" s="5" customFormat="1" ht="20.100000000000001" customHeight="1" x14ac:dyDescent="0.4">
      <c r="B400" s="150"/>
      <c r="C400" s="3"/>
      <c r="D400" s="158"/>
      <c r="I400" s="147"/>
      <c r="K400" s="8"/>
      <c r="L400" s="147"/>
      <c r="M400" s="147"/>
      <c r="N400" s="147"/>
      <c r="O400" s="150"/>
      <c r="R400" s="8"/>
    </row>
    <row r="401" spans="2:18" s="5" customFormat="1" ht="20.100000000000001" customHeight="1" x14ac:dyDescent="0.4">
      <c r="B401" s="150"/>
      <c r="C401" s="3"/>
      <c r="D401" s="158"/>
      <c r="I401" s="147"/>
      <c r="K401" s="8"/>
      <c r="L401" s="147"/>
      <c r="M401" s="147"/>
      <c r="N401" s="147"/>
      <c r="O401" s="150"/>
      <c r="R401" s="8"/>
    </row>
    <row r="402" spans="2:18" s="5" customFormat="1" ht="20.100000000000001" customHeight="1" x14ac:dyDescent="0.4">
      <c r="B402" s="150"/>
      <c r="C402" s="3"/>
      <c r="D402" s="158"/>
      <c r="I402" s="147"/>
      <c r="K402" s="8"/>
      <c r="L402" s="147"/>
      <c r="M402" s="147"/>
      <c r="N402" s="147"/>
      <c r="O402" s="150"/>
      <c r="R402" s="8"/>
    </row>
    <row r="403" spans="2:18" s="5" customFormat="1" ht="20.100000000000001" customHeight="1" x14ac:dyDescent="0.4">
      <c r="B403" s="150"/>
      <c r="C403" s="3"/>
      <c r="D403" s="158"/>
      <c r="I403" s="147"/>
      <c r="K403" s="8"/>
      <c r="L403" s="147"/>
      <c r="M403" s="147"/>
      <c r="N403" s="147"/>
      <c r="O403" s="150"/>
      <c r="R403" s="8"/>
    </row>
    <row r="404" spans="2:18" s="5" customFormat="1" ht="20.100000000000001" customHeight="1" x14ac:dyDescent="0.4">
      <c r="B404" s="150"/>
      <c r="C404" s="3"/>
      <c r="D404" s="158"/>
      <c r="I404" s="147"/>
      <c r="K404" s="8"/>
      <c r="L404" s="147"/>
      <c r="M404" s="147"/>
      <c r="N404" s="147"/>
      <c r="O404" s="150"/>
      <c r="R404" s="8"/>
    </row>
    <row r="405" spans="2:18" s="5" customFormat="1" ht="20.100000000000001" customHeight="1" x14ac:dyDescent="0.4">
      <c r="B405" s="150"/>
      <c r="C405" s="3"/>
      <c r="D405" s="158"/>
      <c r="I405" s="147"/>
      <c r="K405" s="8"/>
      <c r="L405" s="147"/>
      <c r="M405" s="147"/>
      <c r="N405" s="147"/>
      <c r="O405" s="150"/>
      <c r="R405" s="8"/>
    </row>
    <row r="406" spans="2:18" s="5" customFormat="1" ht="20.100000000000001" customHeight="1" x14ac:dyDescent="0.4">
      <c r="B406" s="150"/>
      <c r="C406" s="3"/>
      <c r="D406" s="158"/>
      <c r="I406" s="147"/>
      <c r="K406" s="8"/>
      <c r="L406" s="147"/>
      <c r="M406" s="147"/>
      <c r="N406" s="147"/>
      <c r="O406" s="150"/>
      <c r="R406" s="8"/>
    </row>
    <row r="407" spans="2:18" s="5" customFormat="1" ht="20.100000000000001" customHeight="1" x14ac:dyDescent="0.4">
      <c r="B407" s="150"/>
      <c r="C407" s="3"/>
      <c r="D407" s="158"/>
      <c r="I407" s="147"/>
      <c r="K407" s="8"/>
      <c r="L407" s="147"/>
      <c r="M407" s="147"/>
      <c r="N407" s="147"/>
      <c r="O407" s="150"/>
      <c r="R407" s="8"/>
    </row>
    <row r="408" spans="2:18" s="5" customFormat="1" ht="20.100000000000001" customHeight="1" x14ac:dyDescent="0.4">
      <c r="B408" s="150"/>
      <c r="C408" s="3"/>
      <c r="D408" s="158"/>
      <c r="I408" s="147"/>
      <c r="K408" s="8"/>
      <c r="L408" s="147"/>
      <c r="M408" s="147"/>
      <c r="N408" s="147"/>
      <c r="O408" s="150"/>
      <c r="R408" s="8"/>
    </row>
    <row r="409" spans="2:18" s="5" customFormat="1" ht="20.100000000000001" customHeight="1" x14ac:dyDescent="0.4">
      <c r="B409" s="150"/>
      <c r="C409" s="3"/>
      <c r="D409" s="158"/>
      <c r="I409" s="147"/>
      <c r="K409" s="8"/>
      <c r="L409" s="147"/>
      <c r="M409" s="147"/>
      <c r="N409" s="147"/>
      <c r="O409" s="150"/>
      <c r="R409" s="8"/>
    </row>
    <row r="410" spans="2:18" s="5" customFormat="1" ht="20.100000000000001" customHeight="1" x14ac:dyDescent="0.4">
      <c r="B410" s="150"/>
      <c r="C410" s="3"/>
      <c r="D410" s="158"/>
      <c r="I410" s="147"/>
      <c r="K410" s="8"/>
      <c r="L410" s="147"/>
      <c r="M410" s="147"/>
      <c r="N410" s="147"/>
      <c r="O410" s="150"/>
      <c r="R410" s="8"/>
    </row>
    <row r="411" spans="2:18" s="5" customFormat="1" ht="20.100000000000001" customHeight="1" x14ac:dyDescent="0.4">
      <c r="B411" s="150"/>
      <c r="C411" s="3"/>
      <c r="D411" s="158"/>
      <c r="I411" s="147"/>
      <c r="K411" s="8"/>
      <c r="L411" s="147"/>
      <c r="M411" s="147"/>
      <c r="N411" s="147"/>
      <c r="O411" s="150"/>
      <c r="R411" s="8"/>
    </row>
    <row r="412" spans="2:18" s="5" customFormat="1" ht="20.100000000000001" customHeight="1" x14ac:dyDescent="0.4">
      <c r="B412" s="150"/>
      <c r="C412" s="3"/>
      <c r="D412" s="158"/>
      <c r="I412" s="147"/>
      <c r="K412" s="8"/>
      <c r="L412" s="147"/>
      <c r="M412" s="147"/>
      <c r="N412" s="147"/>
      <c r="O412" s="150"/>
      <c r="R412" s="8"/>
    </row>
    <row r="413" spans="2:18" s="5" customFormat="1" ht="20.100000000000001" customHeight="1" x14ac:dyDescent="0.4">
      <c r="B413" s="150"/>
      <c r="C413" s="3"/>
      <c r="D413" s="158"/>
      <c r="I413" s="147"/>
      <c r="K413" s="8"/>
      <c r="L413" s="147"/>
      <c r="M413" s="147"/>
      <c r="N413" s="147"/>
      <c r="O413" s="150"/>
      <c r="R413" s="8"/>
    </row>
    <row r="414" spans="2:18" s="5" customFormat="1" ht="20.100000000000001" customHeight="1" x14ac:dyDescent="0.4">
      <c r="B414" s="150"/>
      <c r="C414" s="3"/>
      <c r="D414" s="158"/>
      <c r="I414" s="147"/>
      <c r="K414" s="8"/>
      <c r="L414" s="147"/>
      <c r="M414" s="147"/>
      <c r="N414" s="147"/>
      <c r="O414" s="150"/>
      <c r="R414" s="8"/>
    </row>
    <row r="415" spans="2:18" s="5" customFormat="1" ht="20.100000000000001" customHeight="1" x14ac:dyDescent="0.4">
      <c r="B415" s="150"/>
      <c r="C415" s="3"/>
      <c r="D415" s="158"/>
      <c r="I415" s="147"/>
      <c r="K415" s="8"/>
      <c r="L415" s="147"/>
      <c r="M415" s="147"/>
      <c r="N415" s="147"/>
      <c r="O415" s="150"/>
      <c r="R415" s="8"/>
    </row>
    <row r="416" spans="2:18" s="5" customFormat="1" ht="20.100000000000001" customHeight="1" x14ac:dyDescent="0.4">
      <c r="B416" s="150"/>
      <c r="C416" s="3"/>
      <c r="D416" s="158"/>
      <c r="I416" s="147"/>
      <c r="K416" s="8"/>
      <c r="L416" s="147"/>
      <c r="M416" s="147"/>
      <c r="N416" s="147"/>
      <c r="O416" s="150"/>
      <c r="R416" s="8"/>
    </row>
    <row r="417" spans="2:18" s="5" customFormat="1" ht="20.100000000000001" customHeight="1" x14ac:dyDescent="0.4">
      <c r="B417" s="150"/>
      <c r="C417" s="3"/>
      <c r="D417" s="158"/>
      <c r="I417" s="147"/>
      <c r="K417" s="8"/>
      <c r="L417" s="147"/>
      <c r="M417" s="147"/>
      <c r="N417" s="147"/>
      <c r="O417" s="150"/>
      <c r="R417" s="8"/>
    </row>
    <row r="418" spans="2:18" s="5" customFormat="1" ht="20.100000000000001" customHeight="1" x14ac:dyDescent="0.4">
      <c r="B418" s="150"/>
      <c r="C418" s="3"/>
      <c r="D418" s="158"/>
      <c r="I418" s="147"/>
      <c r="K418" s="8"/>
      <c r="L418" s="147"/>
      <c r="M418" s="147"/>
      <c r="N418" s="147"/>
      <c r="O418" s="150"/>
      <c r="R418" s="8"/>
    </row>
    <row r="419" spans="2:18" s="5" customFormat="1" ht="20.100000000000001" customHeight="1" x14ac:dyDescent="0.4">
      <c r="B419" s="150"/>
      <c r="C419" s="3"/>
      <c r="D419" s="158"/>
      <c r="I419" s="147"/>
      <c r="K419" s="8"/>
      <c r="L419" s="147"/>
      <c r="M419" s="147"/>
      <c r="N419" s="147"/>
      <c r="O419" s="150"/>
      <c r="R419" s="8"/>
    </row>
    <row r="420" spans="2:18" s="5" customFormat="1" ht="20.100000000000001" customHeight="1" x14ac:dyDescent="0.4">
      <c r="B420" s="150"/>
      <c r="C420" s="3"/>
      <c r="D420" s="158"/>
      <c r="I420" s="147"/>
      <c r="K420" s="8"/>
      <c r="L420" s="147"/>
      <c r="M420" s="147"/>
      <c r="N420" s="147"/>
      <c r="O420" s="150"/>
      <c r="R420" s="8"/>
    </row>
    <row r="421" spans="2:18" s="5" customFormat="1" ht="20.100000000000001" customHeight="1" x14ac:dyDescent="0.4">
      <c r="B421" s="150"/>
      <c r="C421" s="3"/>
      <c r="D421" s="158"/>
      <c r="I421" s="147"/>
      <c r="K421" s="8"/>
      <c r="L421" s="147"/>
      <c r="M421" s="147"/>
      <c r="N421" s="147"/>
      <c r="O421" s="150"/>
      <c r="R421" s="8"/>
    </row>
    <row r="422" spans="2:18" s="5" customFormat="1" ht="20.100000000000001" customHeight="1" x14ac:dyDescent="0.4">
      <c r="B422" s="150"/>
      <c r="C422" s="3"/>
      <c r="D422" s="158"/>
      <c r="I422" s="147"/>
      <c r="K422" s="8"/>
      <c r="L422" s="147"/>
      <c r="M422" s="147"/>
      <c r="N422" s="147"/>
      <c r="O422" s="150"/>
      <c r="R422" s="8"/>
    </row>
    <row r="423" spans="2:18" s="5" customFormat="1" ht="20.100000000000001" customHeight="1" x14ac:dyDescent="0.4">
      <c r="B423" s="150"/>
      <c r="C423" s="3"/>
      <c r="D423" s="158"/>
      <c r="I423" s="147"/>
      <c r="K423" s="8"/>
      <c r="L423" s="147"/>
      <c r="M423" s="147"/>
      <c r="N423" s="147"/>
      <c r="O423" s="150"/>
      <c r="R423" s="8"/>
    </row>
    <row r="424" spans="2:18" s="5" customFormat="1" ht="20.100000000000001" customHeight="1" x14ac:dyDescent="0.4">
      <c r="B424" s="150"/>
      <c r="C424" s="3"/>
      <c r="D424" s="158"/>
      <c r="I424" s="147"/>
      <c r="K424" s="8"/>
      <c r="L424" s="147"/>
      <c r="M424" s="147"/>
      <c r="N424" s="147"/>
      <c r="O424" s="150"/>
      <c r="R424" s="8"/>
    </row>
    <row r="425" spans="2:18" s="5" customFormat="1" ht="20.100000000000001" customHeight="1" x14ac:dyDescent="0.4">
      <c r="B425" s="150"/>
      <c r="C425" s="3"/>
      <c r="D425" s="158"/>
      <c r="I425" s="147"/>
      <c r="K425" s="8"/>
      <c r="L425" s="147"/>
      <c r="M425" s="147"/>
      <c r="N425" s="147"/>
      <c r="O425" s="150"/>
      <c r="R425" s="8"/>
    </row>
    <row r="426" spans="2:18" s="5" customFormat="1" ht="20.100000000000001" customHeight="1" x14ac:dyDescent="0.4">
      <c r="B426" s="150"/>
      <c r="C426" s="3"/>
      <c r="D426" s="158"/>
      <c r="I426" s="147"/>
      <c r="K426" s="8"/>
      <c r="L426" s="147"/>
      <c r="M426" s="147"/>
      <c r="N426" s="147"/>
      <c r="O426" s="150"/>
      <c r="R426" s="8"/>
    </row>
    <row r="427" spans="2:18" s="5" customFormat="1" ht="20.100000000000001" customHeight="1" x14ac:dyDescent="0.4">
      <c r="B427" s="150"/>
      <c r="C427" s="3"/>
      <c r="D427" s="158"/>
      <c r="I427" s="147"/>
      <c r="K427" s="8"/>
      <c r="L427" s="147"/>
      <c r="M427" s="147"/>
      <c r="N427" s="147"/>
      <c r="O427" s="150"/>
      <c r="R427" s="8"/>
    </row>
    <row r="428" spans="2:18" s="5" customFormat="1" ht="20.100000000000001" customHeight="1" x14ac:dyDescent="0.4">
      <c r="B428" s="150"/>
      <c r="C428" s="3"/>
      <c r="D428" s="158"/>
      <c r="I428" s="147"/>
      <c r="K428" s="8"/>
      <c r="L428" s="147"/>
      <c r="M428" s="147"/>
      <c r="N428" s="147"/>
      <c r="O428" s="150"/>
      <c r="R428" s="8"/>
    </row>
    <row r="429" spans="2:18" s="5" customFormat="1" ht="20.100000000000001" customHeight="1" x14ac:dyDescent="0.4">
      <c r="B429" s="150"/>
      <c r="C429" s="3"/>
      <c r="D429" s="158"/>
      <c r="I429" s="147"/>
      <c r="K429" s="8"/>
      <c r="L429" s="147"/>
      <c r="M429" s="147"/>
      <c r="N429" s="147"/>
      <c r="O429" s="150"/>
      <c r="R429" s="8"/>
    </row>
    <row r="430" spans="2:18" s="5" customFormat="1" ht="20.100000000000001" customHeight="1" x14ac:dyDescent="0.4">
      <c r="B430" s="150"/>
      <c r="C430" s="3"/>
      <c r="D430" s="158"/>
      <c r="I430" s="147"/>
      <c r="K430" s="8"/>
      <c r="L430" s="147"/>
      <c r="M430" s="147"/>
      <c r="N430" s="147"/>
      <c r="O430" s="150"/>
      <c r="R430" s="8"/>
    </row>
    <row r="431" spans="2:18" s="5" customFormat="1" ht="20.100000000000001" customHeight="1" x14ac:dyDescent="0.4">
      <c r="B431" s="150"/>
      <c r="C431" s="3"/>
      <c r="D431" s="158"/>
      <c r="I431" s="147"/>
      <c r="K431" s="8"/>
      <c r="L431" s="147"/>
      <c r="M431" s="147"/>
      <c r="N431" s="147"/>
      <c r="O431" s="150"/>
      <c r="R431" s="8"/>
    </row>
    <row r="432" spans="2:18" s="5" customFormat="1" ht="20.100000000000001" customHeight="1" x14ac:dyDescent="0.4">
      <c r="B432" s="150"/>
      <c r="C432" s="3"/>
      <c r="D432" s="158"/>
      <c r="I432" s="147"/>
      <c r="K432" s="8"/>
      <c r="L432" s="147"/>
      <c r="M432" s="147"/>
      <c r="N432" s="147"/>
      <c r="O432" s="150"/>
      <c r="R432" s="8"/>
    </row>
    <row r="433" spans="2:18" s="5" customFormat="1" ht="20.100000000000001" customHeight="1" x14ac:dyDescent="0.4">
      <c r="B433" s="150"/>
      <c r="C433" s="3"/>
      <c r="D433" s="158"/>
      <c r="I433" s="147"/>
      <c r="K433" s="8"/>
      <c r="L433" s="147"/>
      <c r="M433" s="147"/>
      <c r="N433" s="147"/>
      <c r="O433" s="150"/>
      <c r="R433" s="8"/>
    </row>
    <row r="434" spans="2:18" s="5" customFormat="1" ht="20.100000000000001" customHeight="1" x14ac:dyDescent="0.4">
      <c r="B434" s="150"/>
      <c r="C434" s="3"/>
      <c r="D434" s="158"/>
      <c r="I434" s="147"/>
      <c r="K434" s="8"/>
      <c r="L434" s="147"/>
      <c r="M434" s="147"/>
      <c r="N434" s="147"/>
      <c r="O434" s="150"/>
      <c r="R434" s="8"/>
    </row>
    <row r="435" spans="2:18" s="5" customFormat="1" ht="20.100000000000001" customHeight="1" x14ac:dyDescent="0.4">
      <c r="B435" s="150"/>
      <c r="C435" s="3"/>
      <c r="D435" s="158"/>
      <c r="I435" s="147"/>
      <c r="K435" s="8"/>
      <c r="L435" s="147"/>
      <c r="M435" s="147"/>
      <c r="N435" s="147"/>
      <c r="O435" s="150"/>
      <c r="R435" s="8"/>
    </row>
    <row r="436" spans="2:18" s="5" customFormat="1" ht="20.100000000000001" customHeight="1" x14ac:dyDescent="0.4">
      <c r="B436" s="150"/>
      <c r="C436" s="3"/>
      <c r="D436" s="158"/>
      <c r="I436" s="147"/>
      <c r="K436" s="8"/>
      <c r="L436" s="147"/>
      <c r="M436" s="147"/>
      <c r="N436" s="147"/>
      <c r="O436" s="150"/>
      <c r="R436" s="8"/>
    </row>
    <row r="437" spans="2:18" s="5" customFormat="1" ht="20.100000000000001" customHeight="1" x14ac:dyDescent="0.4">
      <c r="B437" s="150"/>
      <c r="C437" s="3"/>
      <c r="D437" s="158"/>
      <c r="I437" s="147"/>
      <c r="K437" s="8"/>
      <c r="L437" s="147"/>
      <c r="M437" s="147"/>
      <c r="N437" s="147"/>
      <c r="O437" s="150"/>
      <c r="R437" s="8"/>
    </row>
    <row r="438" spans="2:18" s="5" customFormat="1" ht="20.100000000000001" customHeight="1" x14ac:dyDescent="0.4">
      <c r="B438" s="150"/>
      <c r="C438" s="3"/>
      <c r="D438" s="158"/>
      <c r="I438" s="147"/>
      <c r="K438" s="8"/>
      <c r="L438" s="147"/>
      <c r="M438" s="147"/>
      <c r="N438" s="147"/>
      <c r="O438" s="150"/>
      <c r="R438" s="8"/>
    </row>
  </sheetData>
  <mergeCells count="2">
    <mergeCell ref="A5:A6"/>
    <mergeCell ref="B5:B6"/>
  </mergeCells>
  <pageMargins left="0.7" right="0.7" top="0.75" bottom="0.75" header="0.3" footer="0.3"/>
  <pageSetup paperSize="8" scale="1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kemenhub dell659</cp:lastModifiedBy>
  <cp:lastPrinted>2026-02-25T04:30:56Z</cp:lastPrinted>
  <dcterms:created xsi:type="dcterms:W3CDTF">2026-02-25T04:30:15Z</dcterms:created>
  <dcterms:modified xsi:type="dcterms:W3CDTF">2026-03-18T07:17:50Z</dcterms:modified>
</cp:coreProperties>
</file>